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12 DICIEMBRE-2025 0770-2024/"/>
    </mc:Choice>
  </mc:AlternateContent>
  <xr:revisionPtr revIDLastSave="91" documentId="13_ncr:1_{B8A47C3C-D62D-41B7-8732-08601D71FB80}" xr6:coauthVersionLast="47" xr6:coauthVersionMax="47" xr10:uidLastSave="{194D8FB3-A6E3-49C5-8C4D-A53BCFEEC3BD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<sst xmlns="http://schemas.openxmlformats.org/spreadsheetml/2006/main" count="148" uniqueCount="107">
  <si>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</si>
  <si>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</si>
  <si>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</si>
  <si>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</si>
  <si>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</si>
  <si>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</si>
  <si>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</si>
  <si>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</si>
  <si>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</si>
  <si>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</si>
  <si>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</si>
  <si>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</si>
  <si>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</si>
  <si>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</si>
  <si>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</si>
  <si>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</si>
  <si>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</si>
  <si>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</si>
  <si>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</si>
  <si>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</si>
  <si>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</si>
  <si>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0770-2024</t>
  </si>
  <si>
    <t>Prestación de Servicios</t>
  </si>
  <si>
    <t>No. de NIT</t>
  </si>
  <si>
    <t>Nombre y/o razón social del prestador</t>
  </si>
  <si>
    <t>VITAL IPS ARAUCA SAS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</si>
  <si>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</si>
  <si>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</si>
  <si>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</si>
  <si>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Vida Individual, Vida Grupo, y demás Ramos de Segurosautorizados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Apoyo diagnóstico y complementación
2. Consulta Externa
Demás servicios que se habiliten durante la vigencia del contrato previa concertación económica entre las partes.</t>
  </si>
  <si>
    <t>3. MODIFICACIONES AL CONTRATO</t>
  </si>
  <si>
    <t>Otrosí No. No aplica</t>
  </si>
  <si>
    <t>Fecha de modificación: 
No aplica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</si>
  <si>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</si>
  <si>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</si>
  <si>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</si>
  <si>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</si>
  <si>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</si>
  <si>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</si>
  <si>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</si>
  <si>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</si>
  <si>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</si>
  <si>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</si>
  <si>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</si>
  <si>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</si>
  <si>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</si>
  <si>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</si>
  <si>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</si>
  <si>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</si>
  <si>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</si>
  <si>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</si>
  <si>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</si>
  <si>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</si>
  <si>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</si>
  <si>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</si>
  <si>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</si>
  <si>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</si>
  <si>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Aseguradora Solidaria de Colombia</t>
  </si>
  <si>
    <t>475 88 994000000061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</si>
  <si>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</si>
  <si>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</si>
  <si>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</si>
  <si>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</si>
  <si>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</si>
  <si>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</si>
  <si>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</si>
  <si>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</si>
  <si>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</si>
  <si>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 xml:space="preserve">SI  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</si>
  <si>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</si>
  <si>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</si>
  <si>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</si>
  <si>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</si>
  <si>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</si>
  <si>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</si>
  <si>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</si>
  <si>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</si>
  <si>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</si>
  <si>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</si>
  <si>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</si>
  <si>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</si>
  <si>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</si>
  <si>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</si>
  <si>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</si>
  <si>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</si>
  <si>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</si>
  <si>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</si>
  <si>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</si>
  <si>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SOAT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</si>
  <si>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</si>
  <si>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</si>
  <si>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</si>
  <si>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</si>
  <si>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</si>
  <si>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</si>
  <si>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</si>
  <si>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color theme="1"/>
        <rFont val="Arial"/>
        <family val="2"/>
      </rPr>
      <t>Nombre:</t>
    </r>
    <r>
      <rPr>
        <sz val="11"/>
        <color theme="1"/>
        <rFont val="Arial"/>
        <family val="2"/>
      </rPr>
      <t xml:space="preserve">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</si>
  <si>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</si>
  <si>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</si>
  <si>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r>
      <rPr>
        <b/>
        <sz val="11"/>
        <color theme="1"/>
        <rFont val="Arial"/>
        <family val="2"/>
      </rPr>
      <t>Nombre:</t>
    </r>
    <r>
      <rPr>
        <sz val="11"/>
        <color theme="1"/>
        <rFont val="Arial"/>
        <family val="2"/>
      </rPr>
      <t xml:space="preserve"> Andrés Mauricio Morales Bonilla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</si>
  <si>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de Contratos</t>
    </r>
  </si>
  <si>
    <t>12-2025</t>
  </si>
  <si>
    <t>01-12-2025 hasta 31-12-2025</t>
  </si>
  <si>
    <t>Expediente Contractual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</si>
  <si>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</si>
  <si>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no realizó envío de planilla de pagos de seguridad social y Certificación de pago de aportes a seguridad social y parafiscales, suscrita por el representante legal o revisor fiscal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</t>
  </si>
  <si>
    <t>1. Evaluación de obligaciones generales y específicas. 
2. Resultado medición de indicadores de gestión.
3. Soportes de medición.
4. Relación de pagos ARL- GP.
5. Autorizaciones generadas durante el periodo evaluado.
6. Habilitación del proveedor de acuerdo con el tipo de servicio.(REPS) 
7. Comunicaciones con 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</si>
</sst>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122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2" xfId="1" applyFont="1" applyBorder="1"/>
    <xf numFmtId="0" fontId="4" fillId="4" borderId="11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3" xfId="1" applyFont="1" applyBorder="1" applyAlignment="1">
      <alignment horizontal="center"/>
    </xf>
    <xf numFmtId="0" fontId="3" fillId="0" borderId="13" xfId="1" applyFont="1" applyBorder="1"/>
    <xf numFmtId="0" fontId="4" fillId="5" borderId="11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1" xfId="1" applyFont="1" applyBorder="1" applyAlignment="1">
      <alignment horizontal="center" vertical="center" wrapText="1"/>
    </xf>
    <xf numFmtId="164" fontId="3" fillId="0" borderId="11" xfId="1" applyNumberFormat="1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14" fontId="13" fillId="0" borderId="5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3" xfId="1" applyFont="1" applyBorder="1" applyAlignment="1">
      <alignment wrapText="1"/>
    </xf>
    <xf numFmtId="0" fontId="15" fillId="0" borderId="14" xfId="1" applyFont="1" applyBorder="1"/>
    <xf numFmtId="0" fontId="2" fillId="0" borderId="15" xfId="1" applyFont="1" applyBorder="1" applyAlignment="1">
      <alignment wrapText="1"/>
    </xf>
    <xf numFmtId="0" fontId="3" fillId="0" borderId="16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3" fillId="0" borderId="19" xfId="1" applyFont="1" applyBorder="1" applyAlignment="1">
      <alignment wrapText="1"/>
    </xf>
    <xf numFmtId="0" fontId="3" fillId="0" borderId="20" xfId="1" applyFont="1" applyBorder="1" applyAlignment="1">
      <alignment wrapText="1"/>
    </xf>
    <xf numFmtId="0" fontId="13" fillId="0" borderId="22" xfId="0" applyFont="1" applyBorder="1" applyAlignment="1">
      <alignment horizontal="center" vertical="center" wrapText="1"/>
    </xf>
    <xf numFmtId="14" fontId="13" fillId="0" borderId="22" xfId="0" applyNumberFormat="1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1" xfId="1" applyFont="1" applyFill="1" applyBorder="1" applyAlignment="1">
      <alignment horizontal="left" vertical="center" wrapText="1"/>
    </xf>
    <xf numFmtId="14" fontId="3" fillId="0" borderId="11" xfId="1" applyNumberFormat="1" applyFont="1" applyBorder="1" applyAlignment="1">
      <alignment horizontal="center" vertical="center" wrapText="1"/>
    </xf>
    <xf numFmtId="14" fontId="8" fillId="0" borderId="11" xfId="1" applyNumberFormat="1" applyFont="1" applyBorder="1" applyAlignment="1">
      <alignment horizontal="left" vertical="center" wrapText="1"/>
    </xf>
    <xf numFmtId="0" fontId="4" fillId="5" borderId="11" xfId="1" applyFont="1" applyFill="1" applyBorder="1" applyAlignment="1">
      <alignment horizontal="center" vertical="center" wrapText="1"/>
    </xf>
    <xf numFmtId="0" fontId="4" fillId="0" borderId="17" xfId="1" applyFont="1" applyBorder="1" applyAlignment="1">
      <alignment horizontal="left" wrapText="1"/>
    </xf>
    <xf numFmtId="0" fontId="4" fillId="0" borderId="1" xfId="1" applyFont="1" applyBorder="1" applyAlignment="1">
      <alignment horizontal="left" wrapText="1"/>
    </xf>
    <xf numFmtId="0" fontId="4" fillId="2" borderId="21" xfId="1" applyFont="1" applyFill="1" applyBorder="1" applyAlignment="1">
      <alignment horizontal="center" wrapText="1"/>
    </xf>
    <xf numFmtId="0" fontId="4" fillId="2" borderId="5" xfId="1" applyFont="1" applyFill="1" applyBorder="1" applyAlignment="1">
      <alignment horizontal="center" wrapText="1"/>
    </xf>
    <xf numFmtId="0" fontId="4" fillId="2" borderId="22" xfId="1" applyFont="1" applyFill="1" applyBorder="1" applyAlignment="1">
      <alignment horizontal="center" wrapText="1"/>
    </xf>
    <xf numFmtId="0" fontId="14" fillId="2" borderId="21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49" fontId="13" fillId="0" borderId="21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wrapText="1"/>
    </xf>
    <xf numFmtId="0" fontId="13" fillId="0" borderId="22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22" xfId="0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justify" vertical="center" wrapText="1"/>
    </xf>
    <xf numFmtId="0" fontId="14" fillId="0" borderId="5" xfId="0" applyFont="1" applyBorder="1" applyAlignment="1">
      <alignment horizontal="justify" vertical="center" wrapText="1"/>
    </xf>
    <xf numFmtId="0" fontId="14" fillId="0" borderId="22" xfId="0" applyFont="1" applyBorder="1" applyAlignment="1">
      <alignment horizontal="justify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24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wrapText="1"/>
    </xf>
    <xf numFmtId="0" fontId="13" fillId="2" borderId="22" xfId="0" applyFont="1" applyFill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wrapText="1"/>
    </xf>
    <xf numFmtId="165" fontId="13" fillId="0" borderId="22" xfId="2" applyNumberFormat="1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22" xfId="2" applyNumberFormat="1" applyFont="1" applyBorder="1" applyAlignment="1">
      <alignment horizontal="center" vertical="center" wrapText="1"/>
    </xf>
    <xf numFmtId="0" fontId="17" fillId="0" borderId="36" xfId="0" applyFont="1" applyBorder="1" applyAlignment="1">
      <alignment vertical="center" wrapText="1"/>
    </xf>
    <xf numFmtId="0" fontId="17" fillId="0" borderId="37" xfId="0" applyFont="1" applyBorder="1" applyAlignment="1">
      <alignment vertical="center" wrapText="1"/>
    </xf>
    <xf numFmtId="0" fontId="17" fillId="0" borderId="38" xfId="0" applyFont="1" applyBorder="1" applyAlignment="1">
      <alignment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0" borderId="33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542925</xdr:colOff>
      <xdr:row>57</xdr:row>
      <xdr:rowOff>104775</xdr:rowOff>
    </xdr:from>
    <xdr:to>
      <xdr:col>1</xdr:col>
      <xdr:colOff>95250</xdr:colOff>
      <xdr:row>57</xdr:row>
      <xdr:rowOff>412027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06F008-4A76-44BE-9152-7CFA3D2D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9050000"/>
          <a:ext cx="1057275" cy="3072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645459</xdr:colOff>
      <xdr:row>60</xdr:row>
      <xdr:rowOff>116541</xdr:rowOff>
    </xdr:from>
    <xdr:to>
      <xdr:col>1</xdr:col>
      <xdr:colOff>831925</xdr:colOff>
      <xdr:row>60</xdr:row>
      <xdr:rowOff>505161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D94B545-7996-E69E-C47B-744BCB65E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459" y="23810259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E12" sqref="E12:E1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50" t="s">
        <v>1</v>
      </c>
      <c r="B2" s="50"/>
      <c r="C2" s="50"/>
      <c r="D2" s="50"/>
      <c r="E2" s="50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51" t="s">
        <v>2</v>
      </c>
      <c r="B5" s="51"/>
      <c r="C5" s="52" t="s">
        <v>3</v>
      </c>
      <c r="D5" s="52"/>
      <c r="E5" s="7"/>
      <c r="F5" s="8" t="s">
        <v>4</v>
      </c>
      <c r="G5" s="53" t="s">
        <v>5</v>
      </c>
      <c r="H5" s="53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54" t="s">
        <v>8</v>
      </c>
      <c r="D7" s="54"/>
      <c r="E7" s="54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9" t="s">
        <v>13</v>
      </c>
      <c r="D8" s="49"/>
      <c r="E8" s="49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sheetPr>
    <pageSetUpPr fitToPage="1"/>
  </sheetPr>
  <dimension ref="A1:I62"/>
  <sheetViews>
    <sheetView tabSelected="1" view="pageBreakPreview" topLeftCell="A41" zoomScale="115" zoomScaleNormal="100" zoomScaleSheetLayoutView="115" workbookViewId="0">
      <selection activeCell="A53" sqref="A53:F53"/>
    </sheetView>
  </sheetViews>
  <sheetFormatPr baseColWidth="10" defaultColWidth="9.109375" defaultRowHeight="13.8" x14ac:dyDescent="0.25"/>
  <cols>
    <col min="1" max="1" width="22.5546875" style="24" customWidth="1"/>
    <col min="2" max="2" width="31.6640625" style="24" customWidth="1"/>
    <col min="3" max="3" width="34.44140625" style="24" customWidth="1"/>
    <col min="4" max="4" width="29.109375" style="24" customWidth="1"/>
    <col min="5" max="5" width="19.6640625" style="24" customWidth="1"/>
    <col min="6" max="8" width="15.88671875" style="24" customWidth="1"/>
    <col min="9" max="16384" width="9.109375" style="24"/>
  </cols>
  <sheetData>
    <row r="1" spans="1:9" ht="23.25" customHeight="1" x14ac:dyDescent="0.4">
      <c r="A1" s="35" t="s">
        <v>0</v>
      </c>
      <c r="B1" s="36"/>
      <c r="C1" s="36"/>
      <c r="D1" s="36"/>
      <c r="E1" s="36"/>
      <c r="F1" s="37"/>
      <c r="G1" s="34"/>
      <c r="H1" s="23"/>
      <c r="I1" s="23"/>
    </row>
    <row r="2" spans="1:9" x14ac:dyDescent="0.25">
      <c r="A2" s="55" t="s">
        <v>17</v>
      </c>
      <c r="B2" s="56"/>
      <c r="C2" s="56"/>
      <c r="D2" s="56"/>
      <c r="E2" s="56"/>
      <c r="F2" s="38"/>
      <c r="G2" s="34"/>
      <c r="H2" s="23"/>
      <c r="I2" s="23"/>
    </row>
    <row r="3" spans="1:9" ht="23.25" customHeight="1" x14ac:dyDescent="0.25">
      <c r="A3" s="39"/>
      <c r="B3" s="25"/>
      <c r="C3" s="25"/>
      <c r="D3" s="25"/>
      <c r="E3" s="25"/>
      <c r="F3" s="40"/>
      <c r="G3" s="34"/>
      <c r="H3" s="23"/>
      <c r="I3" s="23"/>
    </row>
    <row r="4" spans="1:9" x14ac:dyDescent="0.25">
      <c r="A4" s="57" t="s">
        <v>18</v>
      </c>
      <c r="B4" s="58"/>
      <c r="C4" s="58"/>
      <c r="D4" s="58"/>
      <c r="E4" s="58"/>
      <c r="F4" s="59"/>
      <c r="G4" s="26"/>
      <c r="H4" s="25"/>
      <c r="I4" s="23"/>
    </row>
    <row r="5" spans="1:9" x14ac:dyDescent="0.25">
      <c r="A5" s="60" t="s">
        <v>19</v>
      </c>
      <c r="B5" s="61"/>
      <c r="C5" s="61"/>
      <c r="D5" s="61" t="s">
        <v>20</v>
      </c>
      <c r="E5" s="61"/>
      <c r="F5" s="66"/>
      <c r="G5" s="27"/>
    </row>
    <row r="6" spans="1:9" x14ac:dyDescent="0.25">
      <c r="A6" s="62" t="s">
        <v>21</v>
      </c>
      <c r="B6" s="63"/>
      <c r="C6" s="63"/>
      <c r="D6" s="71" t="s">
        <v>22</v>
      </c>
      <c r="E6" s="72"/>
      <c r="F6" s="73"/>
      <c r="G6" s="27"/>
    </row>
    <row r="7" spans="1:9" x14ac:dyDescent="0.25">
      <c r="A7" s="60" t="s">
        <v>23</v>
      </c>
      <c r="B7" s="61"/>
      <c r="C7" s="61"/>
      <c r="D7" s="61" t="s">
        <v>24</v>
      </c>
      <c r="E7" s="61"/>
      <c r="F7" s="66"/>
      <c r="G7" s="27"/>
    </row>
    <row r="8" spans="1:9" ht="30" customHeight="1" x14ac:dyDescent="0.25">
      <c r="A8" s="64">
        <v>901127904</v>
      </c>
      <c r="B8" s="65"/>
      <c r="C8" s="65"/>
      <c r="D8" s="65" t="s">
        <v>25</v>
      </c>
      <c r="E8" s="65"/>
      <c r="F8" s="67"/>
      <c r="G8" s="27"/>
    </row>
    <row r="9" spans="1:9" x14ac:dyDescent="0.25">
      <c r="A9" s="60" t="s">
        <v>26</v>
      </c>
      <c r="B9" s="61"/>
      <c r="C9" s="61"/>
      <c r="D9" s="68">
        <v>45544</v>
      </c>
      <c r="E9" s="69"/>
      <c r="F9" s="70"/>
      <c r="G9" s="27"/>
    </row>
    <row r="10" spans="1:9" x14ac:dyDescent="0.25">
      <c r="A10" s="60" t="s">
        <v>27</v>
      </c>
      <c r="B10" s="61"/>
      <c r="C10" s="61"/>
      <c r="D10" s="68">
        <v>46276</v>
      </c>
      <c r="E10" s="69"/>
      <c r="F10" s="70"/>
      <c r="G10" s="27"/>
    </row>
    <row r="11" spans="1:9" x14ac:dyDescent="0.25">
      <c r="A11" s="60" t="s">
        <v>28</v>
      </c>
      <c r="B11" s="61"/>
      <c r="C11" s="61"/>
      <c r="D11" s="61"/>
      <c r="E11" s="61"/>
      <c r="F11" s="66"/>
      <c r="G11" s="27"/>
    </row>
    <row r="12" spans="1:9" ht="152.4" customHeight="1" x14ac:dyDescent="0.25">
      <c r="A12" s="74" t="s">
        <v>29</v>
      </c>
      <c r="B12" s="75"/>
      <c r="C12" s="75"/>
      <c r="D12" s="75"/>
      <c r="E12" s="75"/>
      <c r="F12" s="76"/>
      <c r="G12" s="27"/>
    </row>
    <row r="13" spans="1:9" x14ac:dyDescent="0.25">
      <c r="A13" s="60" t="s">
        <v>30</v>
      </c>
      <c r="B13" s="61"/>
      <c r="C13" s="61"/>
      <c r="D13" s="61"/>
      <c r="E13" s="61"/>
      <c r="F13" s="66"/>
      <c r="G13" s="27"/>
    </row>
    <row r="14" spans="1:9" ht="25.2" customHeight="1" x14ac:dyDescent="0.25">
      <c r="A14" s="45" t="s">
        <v>31</v>
      </c>
      <c r="B14" s="47" t="s">
        <v>32</v>
      </c>
      <c r="C14" s="77" t="s">
        <v>33</v>
      </c>
      <c r="D14" s="78"/>
      <c r="E14" s="78"/>
      <c r="F14" s="79"/>
      <c r="G14" s="27"/>
    </row>
    <row r="15" spans="1:9" x14ac:dyDescent="0.25">
      <c r="A15" s="60" t="s">
        <v>34</v>
      </c>
      <c r="B15" s="61"/>
      <c r="C15" s="61"/>
      <c r="D15" s="61"/>
      <c r="E15" s="61"/>
      <c r="F15" s="66"/>
      <c r="G15" s="27"/>
    </row>
    <row r="16" spans="1:9" x14ac:dyDescent="0.25">
      <c r="A16" s="60" t="s">
        <v>35</v>
      </c>
      <c r="B16" s="61"/>
      <c r="C16" s="48" t="s">
        <v>101</v>
      </c>
      <c r="D16" s="28" t="s">
        <v>36</v>
      </c>
      <c r="E16" s="69" t="s">
        <v>102</v>
      </c>
      <c r="F16" s="70"/>
      <c r="G16" s="27"/>
    </row>
    <row r="17" spans="1:7" x14ac:dyDescent="0.25">
      <c r="A17" s="60" t="s">
        <v>37</v>
      </c>
      <c r="B17" s="61"/>
      <c r="C17" s="61"/>
      <c r="D17" s="61"/>
      <c r="E17" s="61"/>
      <c r="F17" s="66"/>
      <c r="G17" s="27"/>
    </row>
    <row r="18" spans="1:7" ht="18" customHeight="1" x14ac:dyDescent="0.25">
      <c r="A18" s="64" t="s">
        <v>38</v>
      </c>
      <c r="B18" s="65"/>
      <c r="C18" s="65"/>
      <c r="D18" s="65"/>
      <c r="E18" s="65"/>
      <c r="F18" s="67"/>
      <c r="G18" s="27"/>
    </row>
    <row r="19" spans="1:7" x14ac:dyDescent="0.25">
      <c r="A19" s="60" t="s">
        <v>39</v>
      </c>
      <c r="B19" s="61"/>
      <c r="C19" s="61"/>
      <c r="D19" s="61"/>
      <c r="E19" s="61"/>
      <c r="F19" s="66"/>
      <c r="G19" s="27"/>
    </row>
    <row r="20" spans="1:7" ht="33.6" customHeight="1" x14ac:dyDescent="0.25">
      <c r="A20" s="64" t="s">
        <v>104</v>
      </c>
      <c r="B20" s="65"/>
      <c r="C20" s="65"/>
      <c r="D20" s="65"/>
      <c r="E20" s="65"/>
      <c r="F20" s="67"/>
      <c r="G20" s="27"/>
    </row>
    <row r="21" spans="1:7" x14ac:dyDescent="0.25">
      <c r="A21" s="87" t="s">
        <v>40</v>
      </c>
      <c r="B21" s="88"/>
      <c r="C21" s="88"/>
      <c r="D21" s="88"/>
      <c r="E21" s="88"/>
      <c r="F21" s="89"/>
      <c r="G21" s="27"/>
    </row>
    <row r="22" spans="1:7" x14ac:dyDescent="0.25">
      <c r="A22" s="90" t="s">
        <v>41</v>
      </c>
      <c r="B22" s="90" t="s">
        <v>42</v>
      </c>
      <c r="C22" s="90" t="s">
        <v>43</v>
      </c>
      <c r="D22" s="90" t="s">
        <v>44</v>
      </c>
      <c r="E22" s="87" t="s">
        <v>45</v>
      </c>
      <c r="F22" s="89"/>
      <c r="G22" s="27"/>
    </row>
    <row r="23" spans="1:7" x14ac:dyDescent="0.25">
      <c r="A23" s="91"/>
      <c r="B23" s="91"/>
      <c r="C23" s="91"/>
      <c r="D23" s="91"/>
      <c r="E23" s="20" t="s">
        <v>46</v>
      </c>
      <c r="F23" s="20" t="s">
        <v>47</v>
      </c>
      <c r="G23" s="27"/>
    </row>
    <row r="24" spans="1:7" ht="21" customHeight="1" x14ac:dyDescent="0.25">
      <c r="A24" s="80" t="s">
        <v>48</v>
      </c>
      <c r="B24" s="22" t="s">
        <v>49</v>
      </c>
      <c r="C24" s="21" t="s">
        <v>50</v>
      </c>
      <c r="D24" s="21" t="s">
        <v>50</v>
      </c>
      <c r="E24" s="21" t="s">
        <v>50</v>
      </c>
      <c r="F24" s="41" t="s">
        <v>50</v>
      </c>
      <c r="G24" s="27"/>
    </row>
    <row r="25" spans="1:7" ht="21" customHeight="1" x14ac:dyDescent="0.25">
      <c r="A25" s="81"/>
      <c r="B25" s="22" t="s">
        <v>51</v>
      </c>
      <c r="C25" s="21" t="s">
        <v>50</v>
      </c>
      <c r="D25" s="21" t="s">
        <v>50</v>
      </c>
      <c r="E25" s="21" t="s">
        <v>50</v>
      </c>
      <c r="F25" s="41" t="s">
        <v>50</v>
      </c>
      <c r="G25" s="27"/>
    </row>
    <row r="26" spans="1:7" ht="40.5" customHeight="1" x14ac:dyDescent="0.25">
      <c r="A26" s="82"/>
      <c r="B26" s="22" t="s">
        <v>52</v>
      </c>
      <c r="C26" s="21" t="s">
        <v>50</v>
      </c>
      <c r="D26" s="21" t="s">
        <v>50</v>
      </c>
      <c r="E26" s="21" t="s">
        <v>50</v>
      </c>
      <c r="F26" s="41" t="s">
        <v>50</v>
      </c>
      <c r="G26" s="27"/>
    </row>
    <row r="27" spans="1:7" ht="64.5" customHeight="1" x14ac:dyDescent="0.25">
      <c r="A27" s="43" t="s">
        <v>53</v>
      </c>
      <c r="B27" s="22" t="s">
        <v>54</v>
      </c>
      <c r="C27" s="21" t="s">
        <v>50</v>
      </c>
      <c r="D27" s="21" t="s">
        <v>50</v>
      </c>
      <c r="E27" s="21" t="s">
        <v>50</v>
      </c>
      <c r="F27" s="41" t="s">
        <v>50</v>
      </c>
      <c r="G27" s="27"/>
    </row>
    <row r="28" spans="1:7" ht="102" customHeight="1" x14ac:dyDescent="0.25">
      <c r="A28" s="43" t="s">
        <v>55</v>
      </c>
      <c r="B28" s="22" t="s">
        <v>56</v>
      </c>
      <c r="C28" s="21" t="s">
        <v>57</v>
      </c>
      <c r="D28" s="31" t="s">
        <v>58</v>
      </c>
      <c r="E28" s="30">
        <v>45639</v>
      </c>
      <c r="F28" s="42">
        <v>46004</v>
      </c>
      <c r="G28" s="27"/>
    </row>
    <row r="29" spans="1:7" ht="102" customHeight="1" x14ac:dyDescent="0.25">
      <c r="A29" s="43" t="s">
        <v>55</v>
      </c>
      <c r="B29" s="22" t="s">
        <v>56</v>
      </c>
      <c r="C29" s="21" t="s">
        <v>57</v>
      </c>
      <c r="D29" s="31" t="s">
        <v>58</v>
      </c>
      <c r="E29" s="30">
        <v>46004</v>
      </c>
      <c r="F29" s="42">
        <v>46369</v>
      </c>
      <c r="G29" s="27"/>
    </row>
    <row r="30" spans="1:7" x14ac:dyDescent="0.25">
      <c r="A30" s="83" t="s">
        <v>59</v>
      </c>
      <c r="B30" s="84"/>
      <c r="C30" s="84"/>
      <c r="D30" s="84"/>
      <c r="E30" s="84"/>
      <c r="F30" s="85"/>
      <c r="G30" s="27"/>
    </row>
    <row r="31" spans="1:7" x14ac:dyDescent="0.25">
      <c r="A31" s="20" t="s">
        <v>60</v>
      </c>
      <c r="B31" s="20" t="s">
        <v>61</v>
      </c>
      <c r="C31" s="20" t="s">
        <v>62</v>
      </c>
      <c r="D31" s="83" t="s">
        <v>63</v>
      </c>
      <c r="E31" s="85"/>
      <c r="F31" s="20" t="s">
        <v>64</v>
      </c>
      <c r="G31" s="27"/>
    </row>
    <row r="32" spans="1:7" ht="160.94999999999999" customHeight="1" x14ac:dyDescent="0.25">
      <c r="A32" s="43" t="s">
        <v>65</v>
      </c>
      <c r="B32" s="21" t="s">
        <v>66</v>
      </c>
      <c r="C32" s="21" t="s">
        <v>67</v>
      </c>
      <c r="D32" s="71" t="s">
        <v>103</v>
      </c>
      <c r="E32" s="86"/>
      <c r="F32" s="21" t="s">
        <v>68</v>
      </c>
      <c r="G32" s="27"/>
    </row>
    <row r="33" spans="1:7" ht="26.25" customHeight="1" x14ac:dyDescent="0.25">
      <c r="A33" s="43" t="s">
        <v>69</v>
      </c>
      <c r="B33" s="21" t="s">
        <v>50</v>
      </c>
      <c r="C33" s="21" t="s">
        <v>50</v>
      </c>
      <c r="D33" s="71" t="s">
        <v>50</v>
      </c>
      <c r="E33" s="86"/>
      <c r="F33" s="21" t="s">
        <v>50</v>
      </c>
      <c r="G33" s="27"/>
    </row>
    <row r="34" spans="1:7" ht="21" customHeight="1" x14ac:dyDescent="0.25">
      <c r="A34" s="43" t="s">
        <v>70</v>
      </c>
      <c r="B34" s="21" t="s">
        <v>50</v>
      </c>
      <c r="C34" s="21" t="s">
        <v>50</v>
      </c>
      <c r="D34" s="71" t="s">
        <v>50</v>
      </c>
      <c r="E34" s="86"/>
      <c r="F34" s="21" t="s">
        <v>50</v>
      </c>
      <c r="G34" s="27"/>
    </row>
    <row r="35" spans="1:7" ht="27.6" x14ac:dyDescent="0.25">
      <c r="A35" s="43" t="s">
        <v>71</v>
      </c>
      <c r="B35" s="21" t="s">
        <v>50</v>
      </c>
      <c r="C35" s="21" t="s">
        <v>50</v>
      </c>
      <c r="D35" s="71" t="s">
        <v>50</v>
      </c>
      <c r="E35" s="86"/>
      <c r="F35" s="21" t="s">
        <v>50</v>
      </c>
      <c r="G35" s="27"/>
    </row>
    <row r="36" spans="1:7" x14ac:dyDescent="0.25">
      <c r="A36" s="119" t="s">
        <v>72</v>
      </c>
      <c r="B36" s="120"/>
      <c r="C36" s="120"/>
      <c r="D36" s="120"/>
      <c r="E36" s="120"/>
      <c r="F36" s="121"/>
      <c r="G36" s="27"/>
    </row>
    <row r="37" spans="1:7" x14ac:dyDescent="0.25">
      <c r="A37" s="108" t="s">
        <v>73</v>
      </c>
      <c r="B37" s="108"/>
      <c r="C37" s="44" t="s">
        <v>62</v>
      </c>
      <c r="D37" s="108" t="s">
        <v>63</v>
      </c>
      <c r="E37" s="108"/>
      <c r="F37" s="44" t="s">
        <v>74</v>
      </c>
      <c r="G37" s="27"/>
    </row>
    <row r="38" spans="1:7" ht="51.75" customHeight="1" x14ac:dyDescent="0.25">
      <c r="A38" s="116" t="s">
        <v>75</v>
      </c>
      <c r="B38" s="116"/>
      <c r="C38" s="46" t="s">
        <v>76</v>
      </c>
      <c r="D38" s="117" t="s">
        <v>77</v>
      </c>
      <c r="E38" s="118"/>
      <c r="F38" s="46" t="s">
        <v>78</v>
      </c>
      <c r="G38" s="27"/>
    </row>
    <row r="39" spans="1:7" x14ac:dyDescent="0.25">
      <c r="A39" s="105" t="s">
        <v>79</v>
      </c>
      <c r="B39" s="106"/>
      <c r="C39" s="106"/>
      <c r="D39" s="106"/>
      <c r="E39" s="106"/>
      <c r="F39" s="107"/>
      <c r="G39" s="27"/>
    </row>
    <row r="40" spans="1:7" x14ac:dyDescent="0.25">
      <c r="A40" s="108" t="s">
        <v>73</v>
      </c>
      <c r="B40" s="108"/>
      <c r="C40" s="44" t="s">
        <v>62</v>
      </c>
      <c r="D40" s="108" t="s">
        <v>63</v>
      </c>
      <c r="E40" s="108"/>
      <c r="F40" s="44" t="s">
        <v>74</v>
      </c>
      <c r="G40" s="27"/>
    </row>
    <row r="41" spans="1:7" ht="67.5" customHeight="1" x14ac:dyDescent="0.25">
      <c r="A41" s="109" t="s">
        <v>80</v>
      </c>
      <c r="B41" s="110"/>
      <c r="C41" s="21" t="s">
        <v>76</v>
      </c>
      <c r="D41" s="111" t="s">
        <v>81</v>
      </c>
      <c r="E41" s="112"/>
      <c r="F41" s="21" t="s">
        <v>78</v>
      </c>
      <c r="G41" s="27"/>
    </row>
    <row r="42" spans="1:7" x14ac:dyDescent="0.25">
      <c r="A42" s="61" t="s">
        <v>82</v>
      </c>
      <c r="B42" s="61"/>
      <c r="C42" s="61"/>
      <c r="D42" s="61"/>
      <c r="E42" s="61"/>
      <c r="F42" s="61"/>
      <c r="G42" s="27"/>
    </row>
    <row r="43" spans="1:7" ht="16.5" customHeight="1" x14ac:dyDescent="0.25">
      <c r="A43" s="83" t="s">
        <v>83</v>
      </c>
      <c r="B43" s="84"/>
      <c r="C43" s="85"/>
      <c r="D43" s="113">
        <v>10</v>
      </c>
      <c r="E43" s="114"/>
      <c r="F43" s="115"/>
      <c r="G43" s="27"/>
    </row>
    <row r="44" spans="1:7" ht="89.4" customHeight="1" x14ac:dyDescent="0.25">
      <c r="A44" s="102" t="s">
        <v>105</v>
      </c>
      <c r="B44" s="103"/>
      <c r="C44" s="103"/>
      <c r="D44" s="103"/>
      <c r="E44" s="103"/>
      <c r="F44" s="104"/>
      <c r="G44" s="27"/>
    </row>
    <row r="45" spans="1:7" x14ac:dyDescent="0.25">
      <c r="A45" s="60" t="s">
        <v>84</v>
      </c>
      <c r="B45" s="96"/>
      <c r="C45" s="96"/>
      <c r="D45" s="96"/>
      <c r="E45" s="96"/>
      <c r="F45" s="97"/>
      <c r="G45" s="27"/>
    </row>
    <row r="46" spans="1:7" x14ac:dyDescent="0.25">
      <c r="A46" s="60" t="s">
        <v>85</v>
      </c>
      <c r="B46" s="61"/>
      <c r="C46" s="61"/>
      <c r="D46" s="69" t="s">
        <v>86</v>
      </c>
      <c r="E46" s="69"/>
      <c r="F46" s="70"/>
      <c r="G46" s="27"/>
    </row>
    <row r="47" spans="1:7" x14ac:dyDescent="0.25">
      <c r="A47" s="60" t="s">
        <v>87</v>
      </c>
      <c r="B47" s="61"/>
      <c r="C47" s="61"/>
      <c r="D47" s="69" t="s">
        <v>88</v>
      </c>
      <c r="E47" s="69"/>
      <c r="F47" s="70"/>
      <c r="G47" s="27"/>
    </row>
    <row r="48" spans="1:7" x14ac:dyDescent="0.25">
      <c r="A48" s="60" t="s">
        <v>89</v>
      </c>
      <c r="B48" s="61"/>
      <c r="C48" s="61"/>
      <c r="D48" s="98">
        <v>9836745</v>
      </c>
      <c r="E48" s="98"/>
      <c r="F48" s="99"/>
      <c r="G48" s="27"/>
    </row>
    <row r="49" spans="1:7" x14ac:dyDescent="0.25">
      <c r="A49" s="60" t="s">
        <v>90</v>
      </c>
      <c r="B49" s="61"/>
      <c r="C49" s="61"/>
      <c r="D49" s="98">
        <v>0</v>
      </c>
      <c r="E49" s="98"/>
      <c r="F49" s="99"/>
      <c r="G49" s="27"/>
    </row>
    <row r="50" spans="1:7" x14ac:dyDescent="0.25">
      <c r="A50" s="60" t="s">
        <v>91</v>
      </c>
      <c r="B50" s="61"/>
      <c r="C50" s="61"/>
      <c r="D50" s="98">
        <v>0</v>
      </c>
      <c r="E50" s="98"/>
      <c r="F50" s="99"/>
      <c r="G50" s="27"/>
    </row>
    <row r="51" spans="1:7" ht="32.25" customHeight="1" x14ac:dyDescent="0.25">
      <c r="A51" s="60" t="s">
        <v>92</v>
      </c>
      <c r="B51" s="61"/>
      <c r="C51" s="61"/>
      <c r="D51" s="100">
        <f>+D48+D49+D50</f>
        <v>9836745</v>
      </c>
      <c r="E51" s="100"/>
      <c r="F51" s="101"/>
      <c r="G51" s="27"/>
    </row>
    <row r="52" spans="1:7" x14ac:dyDescent="0.25">
      <c r="A52" s="60" t="s">
        <v>93</v>
      </c>
      <c r="B52" s="96"/>
      <c r="C52" s="96"/>
      <c r="D52" s="96"/>
      <c r="E52" s="96"/>
      <c r="F52" s="97"/>
      <c r="G52" s="27"/>
    </row>
    <row r="53" spans="1:7" ht="122.4" customHeight="1" x14ac:dyDescent="0.25">
      <c r="A53" s="74" t="s">
        <v>106</v>
      </c>
      <c r="B53" s="75"/>
      <c r="C53" s="75"/>
      <c r="D53" s="75"/>
      <c r="E53" s="75"/>
      <c r="F53" s="76"/>
      <c r="G53" s="27"/>
    </row>
    <row r="54" spans="1:7" x14ac:dyDescent="0.25">
      <c r="A54" s="60" t="s">
        <v>94</v>
      </c>
      <c r="B54" s="61"/>
      <c r="C54" s="61"/>
      <c r="D54" s="61"/>
      <c r="E54" s="61"/>
      <c r="F54" s="66"/>
      <c r="G54" s="27"/>
    </row>
    <row r="55" spans="1:7" x14ac:dyDescent="0.25">
      <c r="A55" s="60" t="s">
        <v>95</v>
      </c>
      <c r="B55" s="96"/>
      <c r="C55" s="96"/>
      <c r="D55" s="96"/>
      <c r="E55" s="96"/>
      <c r="F55" s="97"/>
      <c r="G55" s="27"/>
    </row>
    <row r="56" spans="1:7" s="33" customFormat="1" ht="16.5" customHeight="1" x14ac:dyDescent="0.3">
      <c r="A56" s="95" t="s">
        <v>96</v>
      </c>
      <c r="B56" s="93"/>
      <c r="C56" s="93"/>
      <c r="D56" s="93"/>
      <c r="E56" s="93"/>
      <c r="F56" s="94"/>
      <c r="G56" s="32"/>
    </row>
    <row r="57" spans="1:7" s="33" customFormat="1" ht="16.5" customHeight="1" x14ac:dyDescent="0.3">
      <c r="A57" s="95" t="s">
        <v>97</v>
      </c>
      <c r="B57" s="93"/>
      <c r="C57" s="93"/>
      <c r="D57" s="93"/>
      <c r="E57" s="93"/>
      <c r="F57" s="94"/>
      <c r="G57" s="32"/>
    </row>
    <row r="58" spans="1:7" ht="37.5" customHeight="1" x14ac:dyDescent="0.25">
      <c r="A58" s="92" t="s">
        <v>98</v>
      </c>
      <c r="B58" s="93"/>
      <c r="C58" s="93"/>
      <c r="D58" s="93"/>
      <c r="E58" s="93"/>
      <c r="F58" s="94"/>
      <c r="G58" s="27"/>
    </row>
    <row r="59" spans="1:7" ht="18" customHeight="1" x14ac:dyDescent="0.25">
      <c r="A59" s="95" t="s">
        <v>99</v>
      </c>
      <c r="B59" s="93"/>
      <c r="C59" s="93"/>
      <c r="D59" s="93"/>
      <c r="E59" s="93"/>
      <c r="F59" s="94"/>
      <c r="G59" s="27"/>
    </row>
    <row r="60" spans="1:7" x14ac:dyDescent="0.25">
      <c r="A60" s="95" t="s">
        <v>100</v>
      </c>
      <c r="B60" s="93"/>
      <c r="C60" s="93"/>
      <c r="D60" s="93"/>
      <c r="E60" s="93"/>
      <c r="F60" s="94"/>
      <c r="G60" s="27"/>
    </row>
    <row r="61" spans="1:7" ht="51" customHeight="1" x14ac:dyDescent="0.25">
      <c r="A61" s="92" t="s">
        <v>98</v>
      </c>
      <c r="B61" s="93"/>
      <c r="C61" s="93"/>
      <c r="D61" s="93"/>
      <c r="E61" s="93"/>
      <c r="F61" s="94"/>
      <c r="G61" s="27"/>
    </row>
    <row r="62" spans="1:7" x14ac:dyDescent="0.25">
      <c r="A62" s="29"/>
      <c r="B62" s="29"/>
      <c r="C62" s="29"/>
      <c r="D62" s="29"/>
      <c r="E62" s="29"/>
      <c r="F62" s="29"/>
    </row>
  </sheetData>
  <mergeCells count="75">
    <mergeCell ref="A38:B38"/>
    <mergeCell ref="D38:E38"/>
    <mergeCell ref="D33:E33"/>
    <mergeCell ref="D34:E34"/>
    <mergeCell ref="D35:E35"/>
    <mergeCell ref="A36:F36"/>
    <mergeCell ref="A37:B37"/>
    <mergeCell ref="D37:E37"/>
    <mergeCell ref="A47:C47"/>
    <mergeCell ref="A48:C48"/>
    <mergeCell ref="D47:F47"/>
    <mergeCell ref="A45:F45"/>
    <mergeCell ref="A46:C46"/>
    <mergeCell ref="D46:F46"/>
    <mergeCell ref="A44:F44"/>
    <mergeCell ref="A39:F39"/>
    <mergeCell ref="A40:B40"/>
    <mergeCell ref="D40:E40"/>
    <mergeCell ref="A41:B41"/>
    <mergeCell ref="D41:E41"/>
    <mergeCell ref="A42:F42"/>
    <mergeCell ref="A43:C43"/>
    <mergeCell ref="D43:F43"/>
    <mergeCell ref="A49:C49"/>
    <mergeCell ref="A50:C50"/>
    <mergeCell ref="A51:C51"/>
    <mergeCell ref="D48:F48"/>
    <mergeCell ref="D49:F49"/>
    <mergeCell ref="D50:F50"/>
    <mergeCell ref="D51:F51"/>
    <mergeCell ref="A58:F58"/>
    <mergeCell ref="A59:F59"/>
    <mergeCell ref="A60:F60"/>
    <mergeCell ref="A61:F61"/>
    <mergeCell ref="A52:F52"/>
    <mergeCell ref="A53:F53"/>
    <mergeCell ref="A54:F54"/>
    <mergeCell ref="A55:F55"/>
    <mergeCell ref="A56:F56"/>
    <mergeCell ref="A57:F57"/>
    <mergeCell ref="A24:A26"/>
    <mergeCell ref="A30:F30"/>
    <mergeCell ref="D31:E31"/>
    <mergeCell ref="D32:E32"/>
    <mergeCell ref="A13:F13"/>
    <mergeCell ref="A17:F17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11:F11"/>
    <mergeCell ref="A12:F12"/>
    <mergeCell ref="A15:F15"/>
    <mergeCell ref="A16:B16"/>
    <mergeCell ref="E16:F16"/>
    <mergeCell ref="C14:F14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4">
    <dataValidation type="list" allowBlank="1" showInputMessage="1" showErrorMessage="1" sqref="C32" xr:uid="{E3C4051E-7F9F-47BC-84D5-9BD734F8C255}">
      <formula1>$I$33:$I$38</formula1>
    </dataValidation>
    <dataValidation type="list" allowBlank="1" showInputMessage="1" showErrorMessage="1" sqref="B32" xr:uid="{5568A91E-4118-423B-87C9-238C2CDDEEFF}">
      <formula1>$H$33:$H$39</formula1>
    </dataValidation>
    <dataValidation type="list" allowBlank="1" showInputMessage="1" showErrorMessage="1" sqref="F38 F41" xr:uid="{CBC8EAEB-1806-4732-9C47-D59435B3EF43}">
      <formula1>$I$39:$I$41</formula1>
    </dataValidation>
    <dataValidation type="list" allowBlank="1" showInputMessage="1" showErrorMessage="1" sqref="D41:E41" xr:uid="{DADB0263-A567-4F43-BEA2-ACD9EB830F97}">
      <formula1>$H$42:$H$45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scale="66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2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E79294-BECF-4C3C-AA2B-9C6CCF375E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E8E697-9885-4574-BF0B-E7A0DA607CEE}">
  <ds:schemaRefs>
    <ds:schemaRef ds:uri="8fdaa9ae-9629-43e8-b999-4a109998d624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676d5b36-f216-4954-be05-d616da7a825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2026-02-02T20:16:58Z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