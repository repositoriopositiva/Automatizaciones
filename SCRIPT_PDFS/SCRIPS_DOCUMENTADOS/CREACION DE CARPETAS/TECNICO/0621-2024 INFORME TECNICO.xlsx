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aldas/INFORME 11 NOVIEMBRE-2025 0621-2024/"/>
    </mc:Choice>
  </mc:AlternateContent>
  <xr:revisionPtr revIDLastSave="67" documentId="13_ncr:1_{8629F618-A205-4922-A3FB-091F48C968C5}" xr6:coauthVersionLast="47" xr6:coauthVersionMax="47" xr10:uidLastSave="{4509772A-408E-46D0-88E3-A0BB53D20E34}"/>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<sst xmlns="http://schemas.openxmlformats.org/spreadsheetml/2006/main" count="143" uniqueCount="106">
  <si>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</si>
  <si>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</si>
  <si>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</si>
  <si>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</si>
  <si>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</si>
  <si>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</si>
  <si>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</si>
  <si>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</si>
  <si>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</si>
  <si>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</si>
  <si>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</si>
  <si>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</si>
  <si>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</si>
  <si>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</si>
  <si>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</si>
  <si>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</si>
  <si>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</si>
  <si>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</si>
  <si>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</si>
  <si>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</si>
  <si>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</si>
  <si>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0621-2024</t>
  </si>
  <si>
    <t>PRESTACIÓN DE SERVICIOS</t>
  </si>
  <si>
    <t>No. de NIT</t>
  </si>
  <si>
    <t>Nombre y/o razón social del proveedor</t>
  </si>
  <si>
    <t>CENTRO MEDICO DE ESPECIALISTAS CME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</si>
  <si>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</si>
  <si>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</si>
  <si>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</si>
  <si>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Demás servicios del Portafolio que cuenta con habilitación con cumplimiento normativo de habilitación, de acuerdo a la oferta de servicios prestada por el contratista y que hace parte integrante del contrato.</t>
  </si>
  <si>
    <t>3. MODIFICACIONES AL CONTRATO</t>
  </si>
  <si>
    <r>
      <t xml:space="preserve">Otrosí No. </t>
    </r>
    <r>
      <rPr>
        <sz val="11"/>
        <color theme="1"/>
        <rFont val="Arial"/>
        <family val="2"/>
      </rPr>
      <t>1</t>
    </r>
  </si>
  <si>
    <r>
      <t xml:space="preserve">Fecha de modificación: </t>
    </r>
    <r>
      <rPr>
        <sz val="11"/>
        <color theme="1"/>
        <rFont val="Arial"/>
        <family val="2"/>
      </rPr>
      <t>06/11/2025</t>
    </r>
  </si>
  <si>
    <r>
      <rPr>
        <b/>
        <sz val="11"/>
        <color rgb="FF000000"/>
        <rFont val="Arial"/>
      </rPr>
      <t xml:space="preserve">Objeto de la modificación: </t>
    </r>
    <r>
      <rPr>
        <sz val="11"/>
        <color rgb="FF000000"/>
        <rFont val="Arial"/>
      </rPr>
      <t>PRIMERO: Modificar la cláusula segunda COMUNICACIÓN DEL EVENTO; con el fin de incluir los canales de contacto del Ramo de Salud para la comprobación de derechos. SEGUNDO: Incluir en la cláusula tercera CONDICIONES PARA LA ATENCIÓN DEL ASEGURADO, los requisitos aplicables al ramo de salud, Incluir una obligación específica a la cláusula octava OBLIGACIONES DEL CONTRATISTA, CUARTO: Modificar el parágrafo segundo de la cláusula decima VALOR.</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</si>
  <si>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</si>
  <si>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</si>
  <si>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</si>
  <si>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</si>
  <si>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</si>
  <si>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</si>
  <si>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</si>
  <si>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</si>
  <si>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</si>
  <si>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</si>
  <si>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</si>
  <si>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</si>
  <si>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</si>
  <si>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</si>
  <si>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</si>
  <si>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</si>
  <si>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</si>
  <si>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</si>
  <si>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</si>
  <si>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</si>
  <si>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</si>
  <si>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</si>
  <si>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</si>
  <si>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</si>
  <si>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</si>
  <si>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</si>
  <si>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</si>
  <si>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</si>
  <si>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</si>
  <si>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</si>
  <si>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</si>
  <si>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</si>
  <si>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</si>
  <si>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</si>
  <si>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</si>
  <si>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</si>
  <si>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martes, 4 de noviembre de 2025)</t>
    </r>
  </si>
  <si>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</si>
  <si>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</si>
  <si>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</si>
  <si>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</si>
  <si>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</si>
  <si>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</si>
  <si>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</si>
  <si>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</si>
  <si>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</si>
  <si>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</si>
  <si>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</si>
  <si>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</si>
  <si>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</si>
  <si>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</si>
  <si>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</si>
  <si>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</si>
  <si>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153 autorizaciones en la plataforma CUIDA2, de las cuales 141 fueron aprobadas, 5 cerradas, 1 pendiente, 6 anulada, correspondientes al período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</si>
  <si>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</si>
  <si>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</si>
  <si>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</si>
  <si>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</si>
  <si>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</si>
  <si>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</si>
  <si>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</si>
  <si>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</si>
  <si>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</si>
  <si>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</si>
  <si>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family val="2"/>
      </rPr>
      <t>1.</t>
    </r>
    <r>
      <rPr>
        <sz val="11"/>
        <color rgb="FF000000"/>
        <rFont val="Arial"/>
        <family val="2"/>
      </rPr>
      <t xml:space="preserve"> Evaluación de obligaciones generales y específicas. 
</t>
    </r>
    <r>
      <rPr>
        <b/>
        <sz val="11"/>
        <color rgb="FF000000"/>
        <rFont val="Arial"/>
        <family val="2"/>
      </rPr>
      <t>2.</t>
    </r>
    <r>
      <rPr>
        <sz val="11"/>
        <color rgb="FF000000"/>
        <rFont val="Arial"/>
        <family val="2"/>
      </rPr>
      <t xml:space="preserve"> Resultado medición INDICADORES DE GESTIÓN                                                                                                                                                                                                                                                                                                                                                                                                                                                   </t>
    </r>
    <r>
      <rPr>
        <b/>
        <sz val="11"/>
        <color rgb="FF000000"/>
        <rFont val="Arial"/>
        <family val="2"/>
      </rPr>
      <t>3.</t>
    </r>
    <r>
      <rPr>
        <sz val="11"/>
        <color rgb="FF000000"/>
        <rFont val="Arial"/>
        <family val="2"/>
      </rPr>
      <t xml:space="preserve"> Relación de pagos ARL- GP
</t>
    </r>
    <r>
      <rPr>
        <b/>
        <sz val="11"/>
        <color rgb="FF000000"/>
        <rFont val="Arial"/>
        <family val="2"/>
      </rPr>
      <t>4.</t>
    </r>
    <r>
      <rPr>
        <sz val="11"/>
        <color rgb="FF000000"/>
        <rFont val="Arial"/>
        <family val="2"/>
      </rPr>
      <t xml:space="preserve"> Autorizaciones generadas en periodo evaluado.
</t>
    </r>
    <r>
      <rPr>
        <b/>
        <sz val="11"/>
        <color rgb="FF000000"/>
        <rFont val="Arial"/>
        <family val="2"/>
      </rPr>
      <t>5.</t>
    </r>
    <r>
      <rPr>
        <sz val="11"/>
        <color rgb="FF000000"/>
        <rFont val="Arial"/>
        <family val="2"/>
      </rPr>
      <t xml:space="preserve"> Habilitación del proveedor de acuerdo con el tipo de servicio. 
</t>
    </r>
    <r>
      <rPr>
        <b/>
        <sz val="11"/>
        <color rgb="FF000000"/>
        <rFont val="Arial"/>
        <family val="2"/>
      </rPr>
      <t>6.</t>
    </r>
    <r>
      <rPr>
        <sz val="11"/>
        <color rgb="FF000000"/>
        <rFont val="Arial"/>
        <family val="2"/>
      </rPr>
      <t xml:space="preserve"> Acta de visita
</t>
    </r>
    <r>
      <rPr>
        <b/>
        <sz val="11"/>
        <color rgb="FF000000"/>
        <rFont val="Arial"/>
        <family val="2"/>
      </rPr>
      <t>7.</t>
    </r>
    <r>
      <rPr>
        <sz val="11"/>
        <color rgb="FF000000"/>
        <rFont val="Arial"/>
        <family val="2"/>
      </rPr>
      <t xml:space="preserve"> Comunicaciones con el proveedor. 
</t>
    </r>
    <r>
      <rPr>
        <b/>
        <sz val="11"/>
        <color rgb="FF000000"/>
        <rFont val="Arial"/>
        <family val="2"/>
      </rPr>
      <t xml:space="preserve">8. </t>
    </r>
    <r>
      <rPr>
        <sz val="11"/>
        <color rgb="FF000000"/>
        <rFont val="Arial"/>
        <family val="2"/>
      </rPr>
      <t xml:space="preserve">Sarlaft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</si>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</sst>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color rgb="FF040404"/>
      <name val="Arial"/>
      <family val="2"/>
    </font>
    <font>
      <sz val="11"/>
      <name val="Arial"/>
      <family val="2"/>
    </font>
    <font>
      <b/>
      <sz val="11"/>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theme="1"/>
      </top>
      <bottom style="thin">
        <color theme="1"/>
      </bottom>
      <diagonal/>
    </border>
    <border>
      <left style="thin">
        <color theme="1"/>
      </left>
      <right style="thin">
        <color theme="1"/>
      </right>
      <top style="thin">
        <color theme="1"/>
      </top>
      <bottom style="thin">
        <color theme="1"/>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medium">
        <color indexed="64"/>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style="thin">
        <color theme="1"/>
      </left>
      <right style="medium">
        <color indexed="64"/>
      </right>
      <top style="thin">
        <color theme="1"/>
      </top>
      <bottom style="medium">
        <color indexed="64"/>
      </bottom>
      <diagonal/>
    </border>
    <border>
      <left style="thin">
        <color indexed="64"/>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0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7" fillId="0" borderId="5" xfId="1" applyFont="1" applyBorder="1" applyAlignment="1">
      <alignment wrapText="1"/>
    </xf>
    <xf numFmtId="0" fontId="17" fillId="0" borderId="2" xfId="1" applyFont="1" applyBorder="1" applyAlignment="1">
      <alignment wrapText="1"/>
    </xf>
    <xf numFmtId="0" fontId="17" fillId="0" borderId="1" xfId="1" applyFont="1" applyBorder="1" applyAlignment="1">
      <alignment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5" fillId="0" borderId="0" xfId="1" applyFont="1"/>
    <xf numFmtId="0" fontId="2" fillId="0" borderId="0" xfId="1" applyFont="1" applyAlignment="1">
      <alignment wrapText="1"/>
    </xf>
    <xf numFmtId="0" fontId="3" fillId="0" borderId="0" xfId="1" applyFont="1" applyAlignment="1">
      <alignment wrapText="1"/>
    </xf>
    <xf numFmtId="0" fontId="14" fillId="0" borderId="15" xfId="0" applyFont="1" applyBorder="1" applyAlignment="1">
      <alignment vertical="center" wrapText="1"/>
    </xf>
    <xf numFmtId="0" fontId="14" fillId="2" borderId="16"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2" borderId="15" xfId="0" applyFont="1" applyFill="1" applyBorder="1" applyAlignment="1">
      <alignment horizontal="center" vertical="center" wrapText="1"/>
    </xf>
    <xf numFmtId="14" fontId="13" fillId="0" borderId="16" xfId="0" applyNumberFormat="1" applyFont="1" applyBorder="1" applyAlignment="1">
      <alignment horizontal="center" vertical="center" wrapText="1"/>
    </xf>
    <xf numFmtId="0" fontId="14" fillId="2" borderId="15" xfId="0"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4" fillId="0" borderId="0" xfId="1" applyFont="1" applyAlignment="1">
      <alignment horizontal="left" wrapText="1"/>
    </xf>
    <xf numFmtId="0" fontId="16" fillId="2" borderId="12" xfId="1" applyFont="1" applyFill="1" applyBorder="1" applyAlignment="1">
      <alignment horizontal="center" wrapText="1"/>
    </xf>
    <xf numFmtId="0" fontId="16" fillId="2" borderId="13" xfId="1" applyFont="1" applyFill="1" applyBorder="1" applyAlignment="1">
      <alignment horizontal="center" wrapText="1"/>
    </xf>
    <xf numFmtId="0" fontId="16" fillId="2" borderId="14" xfId="1" applyFont="1" applyFill="1" applyBorder="1" applyAlignment="1">
      <alignment horizontal="center" wrapText="1"/>
    </xf>
    <xf numFmtId="0" fontId="14" fillId="2" borderId="15" xfId="0" applyFont="1" applyFill="1" applyBorder="1" applyAlignment="1">
      <alignment horizontal="center" wrapText="1"/>
    </xf>
    <xf numFmtId="0" fontId="14" fillId="2" borderId="6" xfId="0" applyFont="1" applyFill="1" applyBorder="1" applyAlignment="1">
      <alignment horizontal="center" wrapText="1"/>
    </xf>
    <xf numFmtId="0" fontId="13" fillId="0" borderId="15" xfId="0" applyFont="1" applyBorder="1" applyAlignment="1">
      <alignment horizontal="center" vertical="center" wrapText="1"/>
    </xf>
    <xf numFmtId="0" fontId="13" fillId="0" borderId="6" xfId="0" applyFont="1" applyBorder="1" applyAlignment="1">
      <alignment horizontal="center" vertical="center" wrapText="1"/>
    </xf>
    <xf numFmtId="0" fontId="14" fillId="2" borderId="16" xfId="0" applyFont="1" applyFill="1" applyBorder="1" applyAlignment="1">
      <alignment horizontal="center" wrapText="1"/>
    </xf>
    <xf numFmtId="0" fontId="13" fillId="0" borderId="16" xfId="0" applyFont="1" applyBorder="1" applyAlignment="1">
      <alignment horizontal="center" vertical="center" wrapText="1"/>
    </xf>
    <xf numFmtId="14" fontId="13" fillId="0" borderId="6" xfId="0" applyNumberFormat="1" applyFont="1" applyBorder="1" applyAlignment="1">
      <alignment horizontal="center" wrapText="1"/>
    </xf>
    <xf numFmtId="0" fontId="13" fillId="0" borderId="6" xfId="0" applyFont="1" applyBorder="1" applyAlignment="1">
      <alignment horizontal="center" wrapText="1"/>
    </xf>
    <xf numFmtId="0" fontId="13" fillId="0" borderId="16" xfId="0" applyFont="1" applyBorder="1" applyAlignment="1">
      <alignment horizontal="center" wrapText="1"/>
    </xf>
    <xf numFmtId="0" fontId="22" fillId="0" borderId="6" xfId="0" applyFont="1" applyBorder="1" applyAlignment="1">
      <alignment horizontal="justify" vertical="center" wrapText="1"/>
    </xf>
    <xf numFmtId="0" fontId="14" fillId="0" borderId="6" xfId="0" applyFont="1" applyBorder="1" applyAlignment="1">
      <alignment horizontal="justify" vertical="center" wrapText="1"/>
    </xf>
    <xf numFmtId="0" fontId="14" fillId="0" borderId="16" xfId="0" applyFont="1" applyBorder="1" applyAlignment="1">
      <alignment horizontal="justify" vertical="center" wrapText="1"/>
    </xf>
    <xf numFmtId="0" fontId="13" fillId="0" borderId="15" xfId="0" applyFont="1" applyBorder="1" applyAlignment="1">
      <alignment horizontal="left" vertical="center" wrapText="1"/>
    </xf>
    <xf numFmtId="0" fontId="13" fillId="0" borderId="6" xfId="0" applyFont="1" applyBorder="1" applyAlignment="1">
      <alignment horizontal="left" vertical="center" wrapText="1"/>
    </xf>
    <xf numFmtId="0" fontId="13" fillId="0" borderId="16" xfId="0" applyFont="1" applyBorder="1" applyAlignment="1">
      <alignment horizontal="left" vertical="center" wrapText="1"/>
    </xf>
    <xf numFmtId="0" fontId="13" fillId="2" borderId="6" xfId="0" applyFont="1" applyFill="1" applyBorder="1" applyAlignment="1">
      <alignment horizontal="center" wrapText="1"/>
    </xf>
    <xf numFmtId="0" fontId="13" fillId="2" borderId="16" xfId="0" applyFont="1" applyFill="1" applyBorder="1" applyAlignment="1">
      <alignment horizontal="center" wrapText="1"/>
    </xf>
    <xf numFmtId="0" fontId="13" fillId="0" borderId="17"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8" xfId="0" applyFont="1" applyBorder="1" applyAlignment="1">
      <alignment horizontal="center" vertical="center" wrapText="1"/>
    </xf>
    <xf numFmtId="0" fontId="14" fillId="2" borderId="15"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9" fillId="0" borderId="26" xfId="0" applyFont="1" applyBorder="1" applyAlignment="1">
      <alignment horizontal="center" vertical="center" wrapText="1"/>
    </xf>
    <xf numFmtId="0" fontId="19" fillId="0" borderId="27" xfId="0" applyFont="1" applyBorder="1" applyAlignment="1">
      <alignment horizontal="center" vertical="center" wrapText="1"/>
    </xf>
    <xf numFmtId="166" fontId="13" fillId="0" borderId="6" xfId="2" applyNumberFormat="1" applyFont="1" applyBorder="1" applyAlignment="1">
      <alignment horizontal="left" vertical="center" wrapText="1"/>
    </xf>
    <xf numFmtId="166" fontId="13" fillId="0" borderId="16" xfId="2" applyNumberFormat="1" applyFont="1" applyBorder="1" applyAlignment="1">
      <alignment horizontal="left" vertical="center" wrapText="1"/>
    </xf>
    <xf numFmtId="0" fontId="14" fillId="0" borderId="21" xfId="0" applyFont="1" applyBorder="1" applyAlignment="1">
      <alignment vertical="center" wrapText="1"/>
    </xf>
    <xf numFmtId="0" fontId="14" fillId="0" borderId="22" xfId="0" applyFont="1" applyBorder="1" applyAlignment="1">
      <alignment vertical="center" wrapText="1"/>
    </xf>
    <xf numFmtId="0" fontId="14" fillId="0" borderId="23" xfId="0" applyFont="1" applyBorder="1" applyAlignment="1">
      <alignment vertical="center" wrapText="1"/>
    </xf>
    <xf numFmtId="0" fontId="20" fillId="0" borderId="10" xfId="0" applyFont="1" applyBorder="1" applyAlignment="1">
      <alignment horizontal="left" vertical="center" wrapText="1"/>
    </xf>
    <xf numFmtId="0" fontId="13" fillId="0" borderId="10" xfId="0" applyFont="1" applyBorder="1" applyAlignment="1">
      <alignment horizontal="left" vertical="center" wrapText="1"/>
    </xf>
    <xf numFmtId="0" fontId="18" fillId="0" borderId="15" xfId="0" applyFont="1" applyBorder="1" applyAlignment="1">
      <alignment vertical="center" wrapText="1"/>
    </xf>
    <xf numFmtId="0" fontId="18" fillId="0" borderId="6" xfId="0" applyFont="1" applyBorder="1" applyAlignment="1">
      <alignment vertical="center" wrapText="1"/>
    </xf>
    <xf numFmtId="0" fontId="18" fillId="0" borderId="16" xfId="0" applyFont="1" applyBorder="1" applyAlignment="1">
      <alignment vertical="center" wrapText="1"/>
    </xf>
    <xf numFmtId="0" fontId="19" fillId="0" borderId="15" xfId="0" applyFont="1" applyBorder="1" applyAlignment="1">
      <alignment vertical="center" wrapText="1"/>
    </xf>
    <xf numFmtId="0" fontId="19" fillId="0" borderId="6" xfId="0" applyFont="1" applyBorder="1" applyAlignment="1">
      <alignment vertical="center" wrapText="1"/>
    </xf>
    <xf numFmtId="0" fontId="19" fillId="0" borderId="16" xfId="0" applyFont="1" applyBorder="1" applyAlignment="1">
      <alignment vertical="center" wrapText="1"/>
    </xf>
    <xf numFmtId="0" fontId="23" fillId="0" borderId="19" xfId="0" applyFont="1" applyBorder="1" applyAlignment="1">
      <alignment wrapText="1"/>
    </xf>
    <xf numFmtId="0" fontId="13" fillId="0" borderId="10" xfId="0" applyFont="1" applyBorder="1" applyAlignment="1">
      <alignment wrapText="1"/>
    </xf>
    <xf numFmtId="0" fontId="13" fillId="0" borderId="20" xfId="0" applyFont="1" applyBorder="1" applyAlignment="1">
      <alignment wrapText="1"/>
    </xf>
    <xf numFmtId="0" fontId="20" fillId="0" borderId="19" xfId="0" applyFont="1" applyBorder="1" applyAlignment="1">
      <alignment vertical="center" wrapText="1"/>
    </xf>
    <xf numFmtId="0" fontId="13" fillId="0" borderId="10" xfId="0" applyFont="1" applyBorder="1" applyAlignment="1">
      <alignment vertical="center" wrapText="1"/>
    </xf>
    <xf numFmtId="0" fontId="13" fillId="0" borderId="20" xfId="0" applyFont="1" applyBorder="1" applyAlignment="1">
      <alignment vertical="center" wrapText="1"/>
    </xf>
    <xf numFmtId="0" fontId="14" fillId="0" borderId="6" xfId="0" applyFont="1" applyBorder="1" applyAlignment="1">
      <alignment horizontal="center" wrapText="1"/>
    </xf>
    <xf numFmtId="0" fontId="14" fillId="0" borderId="16" xfId="0" applyFont="1" applyBorder="1" applyAlignment="1">
      <alignment horizontal="center" wrapText="1"/>
    </xf>
    <xf numFmtId="0" fontId="20" fillId="0" borderId="24" xfId="0" applyFont="1" applyBorder="1" applyAlignment="1">
      <alignment horizontal="left" vertical="center" wrapText="1"/>
    </xf>
    <xf numFmtId="0" fontId="20" fillId="0" borderId="9" xfId="0" applyFont="1" applyBorder="1" applyAlignment="1">
      <alignment horizontal="left" vertical="center" wrapText="1"/>
    </xf>
    <xf numFmtId="0" fontId="20" fillId="0" borderId="25"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782358</xdr:colOff>
      <xdr:row>0</xdr:row>
      <xdr:rowOff>128870</xdr:rowOff>
    </xdr:from>
    <xdr:to>
      <xdr:col>5</xdr:col>
      <xdr:colOff>1202258</xdr:colOff>
      <xdr:row>2</xdr:row>
      <xdr:rowOff>169888</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240" y="128870"/>
          <a:ext cx="1730989" cy="511665"/>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4F817D88-4901-4AFE-9700-DF98FDB1FA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1C920244-A829-486F-92C6-FCC045BF055B}"/>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533400</xdr:colOff>
      <xdr:row>59</xdr:row>
      <xdr:rowOff>66675</xdr:rowOff>
    </xdr:from>
    <xdr:to>
      <xdr:col>0</xdr:col>
      <xdr:colOff>1562100</xdr:colOff>
      <xdr:row>59</xdr:row>
      <xdr:rowOff>466725</xdr:rowOff>
    </xdr:to>
    <xdr:pic>
      <xdr:nvPicPr>
        <xdr:cNvPr id="4" name="Imagen 3">
          <a:extLst>
            <a:ext uri="{FF2B5EF4-FFF2-40B4-BE49-F238E27FC236}">
              <a16:creationId xmlns:a16="http://schemas.microsoft.com/office/drawing/2014/main" id="{9B1A6357-F316-CFBA-7176-CC81383184DB}"/>
            </a:ext>
            <a:ext uri="{147F2762-F138-4A5C-976F-8EAC2B608ADB}">
              <a16:predDERef xmlns:a16="http://schemas.microsoft.com/office/drawing/2014/main" pred="{1C920244-A829-486F-92C6-FCC045BF055B}"/>
            </a:ext>
          </a:extLst>
        </xdr:cNvPr>
        <xdr:cNvPicPr>
          <a:picLocks noChangeAspect="1"/>
        </xdr:cNvPicPr>
      </xdr:nvPicPr>
      <xdr:blipFill>
        <a:blip xmlns:r="http://schemas.openxmlformats.org/officeDocument/2006/relationships" r:embed="rId5"/>
        <a:stretch>
          <a:fillRect/>
        </a:stretch>
      </xdr:blipFill>
      <xdr:spPr>
        <a:xfrm>
          <a:off x="533400" y="25279350"/>
          <a:ext cx="10287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45" t="s">
        <v>13</v>
      </c>
      <c r="D8" s="45"/>
      <c r="E8" s="4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8"/>
  <sheetViews>
    <sheetView showGridLines="0" tabSelected="1" view="pageBreakPreview" topLeftCell="A9" zoomScale="85" zoomScaleNormal="85" zoomScaleSheetLayoutView="85" workbookViewId="0">
      <selection activeCell="A57" sqref="A57:F57"/>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36" t="s">
        <v>0</v>
      </c>
      <c r="B1" s="37"/>
      <c r="C1" s="37"/>
      <c r="D1" s="37"/>
      <c r="E1" s="37"/>
      <c r="F1" s="38"/>
      <c r="G1" s="26"/>
      <c r="H1" s="20"/>
      <c r="I1" s="20"/>
    </row>
    <row r="2" spans="1:9">
      <c r="A2" s="51" t="s">
        <v>17</v>
      </c>
      <c r="B2" s="51"/>
      <c r="C2" s="51"/>
      <c r="D2" s="51"/>
      <c r="E2" s="51"/>
      <c r="F2" s="38"/>
      <c r="G2" s="26"/>
      <c r="H2" s="20"/>
      <c r="I2" s="20"/>
    </row>
    <row r="3" spans="1:9" ht="23.25" customHeight="1" thickBot="1">
      <c r="A3" s="38"/>
      <c r="B3" s="38"/>
      <c r="C3" s="38"/>
      <c r="D3" s="38"/>
      <c r="E3" s="38"/>
      <c r="F3" s="38"/>
      <c r="G3" s="26"/>
      <c r="H3" s="20"/>
      <c r="I3" s="20"/>
    </row>
    <row r="4" spans="1:9" ht="15">
      <c r="A4" s="52" t="s">
        <v>18</v>
      </c>
      <c r="B4" s="53"/>
      <c r="C4" s="53"/>
      <c r="D4" s="53"/>
      <c r="E4" s="53"/>
      <c r="F4" s="54"/>
      <c r="G4" s="27"/>
      <c r="H4" s="28"/>
      <c r="I4" s="29"/>
    </row>
    <row r="5" spans="1:9" ht="15">
      <c r="A5" s="55" t="s">
        <v>19</v>
      </c>
      <c r="B5" s="56"/>
      <c r="C5" s="56"/>
      <c r="D5" s="56" t="s">
        <v>20</v>
      </c>
      <c r="E5" s="56"/>
      <c r="F5" s="59"/>
      <c r="G5" s="22"/>
    </row>
    <row r="6" spans="1:9" ht="27.75" customHeight="1">
      <c r="A6" s="57" t="s">
        <v>21</v>
      </c>
      <c r="B6" s="58"/>
      <c r="C6" s="58"/>
      <c r="D6" s="58" t="s">
        <v>22</v>
      </c>
      <c r="E6" s="58"/>
      <c r="F6" s="60"/>
      <c r="G6" s="22"/>
    </row>
    <row r="7" spans="1:9" ht="15">
      <c r="A7" s="55" t="s">
        <v>23</v>
      </c>
      <c r="B7" s="56"/>
      <c r="C7" s="56"/>
      <c r="D7" s="56" t="s">
        <v>24</v>
      </c>
      <c r="E7" s="56"/>
      <c r="F7" s="59"/>
      <c r="G7" s="22"/>
    </row>
    <row r="8" spans="1:9" ht="30" customHeight="1">
      <c r="A8" s="57">
        <v>800219192</v>
      </c>
      <c r="B8" s="58"/>
      <c r="C8" s="58"/>
      <c r="D8" s="58" t="s">
        <v>25</v>
      </c>
      <c r="E8" s="58"/>
      <c r="F8" s="60"/>
      <c r="G8" s="22"/>
    </row>
    <row r="9" spans="1:9" ht="15">
      <c r="A9" s="55" t="s">
        <v>26</v>
      </c>
      <c r="B9" s="56"/>
      <c r="C9" s="56"/>
      <c r="D9" s="61">
        <v>45471</v>
      </c>
      <c r="E9" s="62"/>
      <c r="F9" s="63"/>
      <c r="G9" s="22"/>
    </row>
    <row r="10" spans="1:9" ht="15">
      <c r="A10" s="55" t="s">
        <v>27</v>
      </c>
      <c r="B10" s="56"/>
      <c r="C10" s="56"/>
      <c r="D10" s="61">
        <v>46237</v>
      </c>
      <c r="E10" s="62"/>
      <c r="F10" s="63"/>
      <c r="G10" s="22"/>
    </row>
    <row r="11" spans="1:9" ht="15">
      <c r="A11" s="55" t="s">
        <v>28</v>
      </c>
      <c r="B11" s="56"/>
      <c r="C11" s="56"/>
      <c r="D11" s="56"/>
      <c r="E11" s="56"/>
      <c r="F11" s="59"/>
      <c r="G11" s="22"/>
    </row>
    <row r="12" spans="1:9" ht="264.75" customHeight="1">
      <c r="A12" s="67" t="s">
        <v>29</v>
      </c>
      <c r="B12" s="68"/>
      <c r="C12" s="68"/>
      <c r="D12" s="68"/>
      <c r="E12" s="68"/>
      <c r="F12" s="69"/>
      <c r="G12" s="22"/>
    </row>
    <row r="13" spans="1:9" ht="15">
      <c r="A13" s="55" t="s">
        <v>30</v>
      </c>
      <c r="B13" s="56"/>
      <c r="C13" s="56"/>
      <c r="D13" s="56"/>
      <c r="E13" s="56"/>
      <c r="F13" s="59"/>
      <c r="G13" s="22"/>
    </row>
    <row r="14" spans="1:9" ht="75" customHeight="1">
      <c r="A14" s="39" t="s">
        <v>31</v>
      </c>
      <c r="B14" s="30" t="s">
        <v>32</v>
      </c>
      <c r="C14" s="64" t="s">
        <v>33</v>
      </c>
      <c r="D14" s="65"/>
      <c r="E14" s="65"/>
      <c r="F14" s="66"/>
      <c r="G14" s="22"/>
    </row>
    <row r="15" spans="1:9" ht="15">
      <c r="A15" s="55" t="s">
        <v>34</v>
      </c>
      <c r="B15" s="56"/>
      <c r="C15" s="56"/>
      <c r="D15" s="56"/>
      <c r="E15" s="56"/>
      <c r="F15" s="59"/>
      <c r="G15" s="22"/>
    </row>
    <row r="16" spans="1:9" ht="15">
      <c r="A16" s="55" t="s">
        <v>35</v>
      </c>
      <c r="B16" s="56"/>
      <c r="C16" s="31" t="s">
        <v>36</v>
      </c>
      <c r="D16" s="35" t="s">
        <v>37</v>
      </c>
      <c r="E16" s="62" t="s">
        <v>38</v>
      </c>
      <c r="F16" s="63"/>
      <c r="G16" s="22"/>
    </row>
    <row r="17" spans="1:7" ht="15">
      <c r="A17" s="55" t="s">
        <v>39</v>
      </c>
      <c r="B17" s="56"/>
      <c r="C17" s="56"/>
      <c r="D17" s="56"/>
      <c r="E17" s="56"/>
      <c r="F17" s="59"/>
      <c r="G17" s="22"/>
    </row>
    <row r="18" spans="1:7" ht="22.5" customHeight="1">
      <c r="A18" s="57" t="s">
        <v>40</v>
      </c>
      <c r="B18" s="58"/>
      <c r="C18" s="58"/>
      <c r="D18" s="58"/>
      <c r="E18" s="58"/>
      <c r="F18" s="60"/>
      <c r="G18" s="22"/>
    </row>
    <row r="19" spans="1:7" ht="15">
      <c r="A19" s="55" t="s">
        <v>41</v>
      </c>
      <c r="B19" s="56"/>
      <c r="C19" s="56"/>
      <c r="D19" s="56"/>
      <c r="E19" s="56"/>
      <c r="F19" s="59"/>
      <c r="G19" s="22"/>
    </row>
    <row r="20" spans="1:7" ht="51" customHeight="1">
      <c r="A20" s="72" t="s">
        <v>42</v>
      </c>
      <c r="B20" s="73"/>
      <c r="C20" s="73"/>
      <c r="D20" s="73"/>
      <c r="E20" s="73"/>
      <c r="F20" s="74"/>
      <c r="G20" s="22"/>
    </row>
    <row r="21" spans="1:7" ht="15">
      <c r="A21" s="55" t="s">
        <v>43</v>
      </c>
      <c r="B21" s="56"/>
      <c r="C21" s="56"/>
      <c r="D21" s="56"/>
      <c r="E21" s="56"/>
      <c r="F21" s="59"/>
      <c r="G21" s="22"/>
    </row>
    <row r="22" spans="1:7" ht="15">
      <c r="A22" s="75" t="s">
        <v>44</v>
      </c>
      <c r="B22" s="76" t="s">
        <v>45</v>
      </c>
      <c r="C22" s="76" t="s">
        <v>46</v>
      </c>
      <c r="D22" s="76" t="s">
        <v>47</v>
      </c>
      <c r="E22" s="56" t="s">
        <v>48</v>
      </c>
      <c r="F22" s="59"/>
      <c r="G22" s="22"/>
    </row>
    <row r="23" spans="1:7" ht="15">
      <c r="A23" s="75"/>
      <c r="B23" s="76"/>
      <c r="C23" s="76"/>
      <c r="D23" s="76"/>
      <c r="E23" s="35" t="s">
        <v>49</v>
      </c>
      <c r="F23" s="40" t="s">
        <v>50</v>
      </c>
      <c r="G23" s="22"/>
    </row>
    <row r="24" spans="1:7" ht="21" customHeight="1">
      <c r="A24" s="77" t="s">
        <v>51</v>
      </c>
      <c r="B24" s="32" t="s">
        <v>52</v>
      </c>
      <c r="C24" s="34" t="s">
        <v>53</v>
      </c>
      <c r="D24" s="34" t="s">
        <v>53</v>
      </c>
      <c r="E24" s="34" t="s">
        <v>53</v>
      </c>
      <c r="F24" s="41" t="s">
        <v>53</v>
      </c>
      <c r="G24" s="22"/>
    </row>
    <row r="25" spans="1:7" ht="21" customHeight="1">
      <c r="A25" s="77"/>
      <c r="B25" s="32" t="s">
        <v>54</v>
      </c>
      <c r="C25" s="34" t="s">
        <v>53</v>
      </c>
      <c r="D25" s="34" t="s">
        <v>53</v>
      </c>
      <c r="E25" s="34" t="s">
        <v>53</v>
      </c>
      <c r="F25" s="41" t="s">
        <v>53</v>
      </c>
      <c r="G25" s="22"/>
    </row>
    <row r="26" spans="1:7" ht="43.5" customHeight="1">
      <c r="A26" s="77"/>
      <c r="B26" s="32" t="s">
        <v>55</v>
      </c>
      <c r="C26" s="34" t="s">
        <v>53</v>
      </c>
      <c r="D26" s="34" t="s">
        <v>53</v>
      </c>
      <c r="E26" s="34" t="s">
        <v>53</v>
      </c>
      <c r="F26" s="41" t="s">
        <v>53</v>
      </c>
      <c r="G26" s="22"/>
    </row>
    <row r="27" spans="1:7" ht="64.5" customHeight="1">
      <c r="A27" s="42" t="s">
        <v>56</v>
      </c>
      <c r="B27" s="32" t="s">
        <v>57</v>
      </c>
      <c r="C27" s="34" t="s">
        <v>53</v>
      </c>
      <c r="D27" s="34" t="s">
        <v>53</v>
      </c>
      <c r="E27" s="34" t="s">
        <v>53</v>
      </c>
      <c r="F27" s="41" t="s">
        <v>53</v>
      </c>
      <c r="G27" s="22"/>
    </row>
    <row r="28" spans="1:7" ht="95.25" customHeight="1">
      <c r="A28" s="42" t="s">
        <v>58</v>
      </c>
      <c r="B28" s="32" t="s">
        <v>59</v>
      </c>
      <c r="C28" s="34" t="s">
        <v>60</v>
      </c>
      <c r="D28" s="34">
        <v>74175</v>
      </c>
      <c r="E28" s="33">
        <v>45884</v>
      </c>
      <c r="F28" s="43">
        <v>46248</v>
      </c>
      <c r="G28" s="22"/>
    </row>
    <row r="29" spans="1:7" ht="15">
      <c r="A29" s="75" t="s">
        <v>61</v>
      </c>
      <c r="B29" s="76"/>
      <c r="C29" s="76"/>
      <c r="D29" s="76"/>
      <c r="E29" s="76"/>
      <c r="F29" s="78"/>
      <c r="G29" s="22"/>
    </row>
    <row r="30" spans="1:7" ht="15">
      <c r="A30" s="44" t="s">
        <v>62</v>
      </c>
      <c r="B30" s="35" t="s">
        <v>63</v>
      </c>
      <c r="C30" s="35" t="s">
        <v>64</v>
      </c>
      <c r="D30" s="76" t="s">
        <v>65</v>
      </c>
      <c r="E30" s="76"/>
      <c r="F30" s="40" t="s">
        <v>66</v>
      </c>
      <c r="G30" s="22"/>
    </row>
    <row r="31" spans="1:7" ht="164.25" customHeight="1">
      <c r="A31" s="42" t="s">
        <v>67</v>
      </c>
      <c r="B31" s="34" t="s">
        <v>68</v>
      </c>
      <c r="C31" s="34" t="s">
        <v>69</v>
      </c>
      <c r="D31" s="79" t="s">
        <v>70</v>
      </c>
      <c r="E31" s="80"/>
      <c r="F31" s="41" t="s">
        <v>71</v>
      </c>
      <c r="G31" s="22"/>
    </row>
    <row r="32" spans="1:7" ht="24" customHeight="1">
      <c r="A32" s="42" t="s">
        <v>72</v>
      </c>
      <c r="B32" s="34" t="s">
        <v>53</v>
      </c>
      <c r="C32" s="34" t="s">
        <v>53</v>
      </c>
      <c r="D32" s="58" t="s">
        <v>53</v>
      </c>
      <c r="E32" s="58"/>
      <c r="F32" s="41" t="s">
        <v>53</v>
      </c>
      <c r="G32" s="22"/>
    </row>
    <row r="33" spans="1:7" ht="21" customHeight="1">
      <c r="A33" s="42" t="s">
        <v>73</v>
      </c>
      <c r="B33" s="34" t="s">
        <v>53</v>
      </c>
      <c r="C33" s="34" t="s">
        <v>53</v>
      </c>
      <c r="D33" s="58" t="s">
        <v>53</v>
      </c>
      <c r="E33" s="58"/>
      <c r="F33" s="41" t="s">
        <v>53</v>
      </c>
      <c r="G33" s="22"/>
    </row>
    <row r="34" spans="1:7" ht="28.5">
      <c r="A34" s="42" t="s">
        <v>74</v>
      </c>
      <c r="B34" s="34" t="s">
        <v>53</v>
      </c>
      <c r="C34" s="34" t="s">
        <v>53</v>
      </c>
      <c r="D34" s="58" t="s">
        <v>53</v>
      </c>
      <c r="E34" s="58"/>
      <c r="F34" s="41" t="s">
        <v>53</v>
      </c>
      <c r="G34" s="22"/>
    </row>
    <row r="35" spans="1:7" ht="15">
      <c r="A35" s="75" t="s">
        <v>75</v>
      </c>
      <c r="B35" s="76"/>
      <c r="C35" s="76"/>
      <c r="D35" s="76"/>
      <c r="E35" s="76"/>
      <c r="F35" s="78"/>
      <c r="G35" s="22"/>
    </row>
    <row r="36" spans="1:7" ht="15">
      <c r="A36" s="75" t="s">
        <v>76</v>
      </c>
      <c r="B36" s="76"/>
      <c r="C36" s="35" t="s">
        <v>64</v>
      </c>
      <c r="D36" s="76" t="s">
        <v>65</v>
      </c>
      <c r="E36" s="76"/>
      <c r="F36" s="40" t="s">
        <v>77</v>
      </c>
      <c r="G36" s="22"/>
    </row>
    <row r="37" spans="1:7" ht="36.75" customHeight="1">
      <c r="A37" s="57" t="s">
        <v>78</v>
      </c>
      <c r="B37" s="58"/>
      <c r="C37" s="34" t="s">
        <v>79</v>
      </c>
      <c r="D37" s="58" t="s">
        <v>80</v>
      </c>
      <c r="E37" s="58"/>
      <c r="F37" s="41" t="s">
        <v>81</v>
      </c>
      <c r="G37" s="22"/>
    </row>
    <row r="38" spans="1:7" ht="15">
      <c r="A38" s="75" t="s">
        <v>82</v>
      </c>
      <c r="B38" s="76"/>
      <c r="C38" s="76"/>
      <c r="D38" s="76"/>
      <c r="E38" s="76"/>
      <c r="F38" s="78"/>
      <c r="G38" s="22"/>
    </row>
    <row r="39" spans="1:7" ht="15">
      <c r="A39" s="75" t="s">
        <v>76</v>
      </c>
      <c r="B39" s="76"/>
      <c r="C39" s="35" t="s">
        <v>64</v>
      </c>
      <c r="D39" s="76" t="s">
        <v>65</v>
      </c>
      <c r="E39" s="76"/>
      <c r="F39" s="40" t="s">
        <v>77</v>
      </c>
      <c r="G39" s="22"/>
    </row>
    <row r="40" spans="1:7" ht="66.75" customHeight="1">
      <c r="A40" s="57" t="s">
        <v>83</v>
      </c>
      <c r="B40" s="58"/>
      <c r="C40" s="34" t="s">
        <v>79</v>
      </c>
      <c r="D40" s="58" t="s">
        <v>84</v>
      </c>
      <c r="E40" s="58"/>
      <c r="F40" s="41" t="s">
        <v>81</v>
      </c>
      <c r="G40" s="22"/>
    </row>
    <row r="41" spans="1:7" ht="15">
      <c r="A41" s="55" t="s">
        <v>85</v>
      </c>
      <c r="B41" s="56"/>
      <c r="C41" s="56"/>
      <c r="D41" s="56"/>
      <c r="E41" s="56"/>
      <c r="F41" s="59"/>
      <c r="G41" s="22"/>
    </row>
    <row r="42" spans="1:7" ht="15">
      <c r="A42" s="55" t="s">
        <v>86</v>
      </c>
      <c r="B42" s="56"/>
      <c r="C42" s="56"/>
      <c r="D42" s="100">
        <v>153</v>
      </c>
      <c r="E42" s="100"/>
      <c r="F42" s="101"/>
      <c r="G42" s="22"/>
    </row>
    <row r="43" spans="1:7" ht="115.5" customHeight="1">
      <c r="A43" s="102" t="s">
        <v>87</v>
      </c>
      <c r="B43" s="103"/>
      <c r="C43" s="103"/>
      <c r="D43" s="103"/>
      <c r="E43" s="103"/>
      <c r="F43" s="104"/>
      <c r="G43" s="22"/>
    </row>
    <row r="44" spans="1:7" ht="15">
      <c r="A44" s="55" t="s">
        <v>88</v>
      </c>
      <c r="B44" s="70"/>
      <c r="C44" s="70"/>
      <c r="D44" s="70"/>
      <c r="E44" s="70"/>
      <c r="F44" s="71"/>
      <c r="G44" s="22"/>
    </row>
    <row r="45" spans="1:7" ht="15">
      <c r="A45" s="55" t="s">
        <v>89</v>
      </c>
      <c r="B45" s="56"/>
      <c r="C45" s="56"/>
      <c r="D45" s="62" t="s">
        <v>90</v>
      </c>
      <c r="E45" s="62"/>
      <c r="F45" s="63"/>
      <c r="G45" s="22"/>
    </row>
    <row r="46" spans="1:7" ht="15">
      <c r="A46" s="55" t="s">
        <v>91</v>
      </c>
      <c r="B46" s="56"/>
      <c r="C46" s="56"/>
      <c r="D46" s="62" t="s">
        <v>92</v>
      </c>
      <c r="E46" s="62"/>
      <c r="F46" s="63"/>
      <c r="G46" s="22"/>
    </row>
    <row r="47" spans="1:7" ht="31.5" customHeight="1">
      <c r="A47" s="55" t="s">
        <v>93</v>
      </c>
      <c r="B47" s="56"/>
      <c r="C47" s="56"/>
      <c r="D47" s="81">
        <v>1000495498</v>
      </c>
      <c r="E47" s="81"/>
      <c r="F47" s="82"/>
      <c r="G47" s="22"/>
    </row>
    <row r="48" spans="1:7" ht="15">
      <c r="A48" s="55" t="s">
        <v>94</v>
      </c>
      <c r="B48" s="56"/>
      <c r="C48" s="56"/>
      <c r="D48" s="81">
        <v>190977408</v>
      </c>
      <c r="E48" s="81"/>
      <c r="F48" s="82"/>
      <c r="G48" s="22"/>
    </row>
    <row r="49" spans="1:7" ht="15">
      <c r="A49" s="55" t="s">
        <v>95</v>
      </c>
      <c r="B49" s="56"/>
      <c r="C49" s="56"/>
      <c r="D49" s="81">
        <v>13031466</v>
      </c>
      <c r="E49" s="81"/>
      <c r="F49" s="82"/>
      <c r="G49" s="22"/>
    </row>
    <row r="50" spans="1:7" ht="32.25" customHeight="1">
      <c r="A50" s="55" t="s">
        <v>96</v>
      </c>
      <c r="B50" s="56"/>
      <c r="C50" s="56"/>
      <c r="D50" s="81">
        <f>D47+D48+D49</f>
        <v>1204504372</v>
      </c>
      <c r="E50" s="81"/>
      <c r="F50" s="82"/>
      <c r="G50" s="22"/>
    </row>
    <row r="51" spans="1:7" ht="15">
      <c r="A51" s="55" t="s">
        <v>97</v>
      </c>
      <c r="B51" s="70"/>
      <c r="C51" s="70"/>
      <c r="D51" s="70"/>
      <c r="E51" s="70"/>
      <c r="F51" s="71"/>
      <c r="G51" s="22"/>
    </row>
    <row r="52" spans="1:7" ht="143.25" customHeight="1">
      <c r="A52" s="86" t="s">
        <v>98</v>
      </c>
      <c r="B52" s="87"/>
      <c r="C52" s="87"/>
      <c r="D52" s="87"/>
      <c r="E52" s="87"/>
      <c r="F52" s="87"/>
      <c r="G52" s="22"/>
    </row>
    <row r="53" spans="1:7" ht="15">
      <c r="A53" s="55" t="s">
        <v>99</v>
      </c>
      <c r="B53" s="56"/>
      <c r="C53" s="56"/>
      <c r="D53" s="56"/>
      <c r="E53" s="56"/>
      <c r="F53" s="59"/>
      <c r="G53" s="22"/>
    </row>
    <row r="54" spans="1:7" ht="15">
      <c r="A54" s="55" t="s">
        <v>100</v>
      </c>
      <c r="B54" s="70"/>
      <c r="C54" s="70"/>
      <c r="D54" s="70"/>
      <c r="E54" s="70"/>
      <c r="F54" s="71"/>
      <c r="G54" s="22"/>
    </row>
    <row r="55" spans="1:7" s="25" customFormat="1">
      <c r="A55" s="88" t="s">
        <v>101</v>
      </c>
      <c r="B55" s="89"/>
      <c r="C55" s="89"/>
      <c r="D55" s="89"/>
      <c r="E55" s="89"/>
      <c r="F55" s="90"/>
      <c r="G55" s="24"/>
    </row>
    <row r="56" spans="1:7" s="25" customFormat="1">
      <c r="A56" s="88" t="s">
        <v>102</v>
      </c>
      <c r="B56" s="89"/>
      <c r="C56" s="89"/>
      <c r="D56" s="89"/>
      <c r="E56" s="89"/>
      <c r="F56" s="90"/>
      <c r="G56" s="24"/>
    </row>
    <row r="57" spans="1:7" ht="37.5" customHeight="1">
      <c r="A57" s="91" t="s">
        <v>103</v>
      </c>
      <c r="B57" s="92"/>
      <c r="C57" s="92"/>
      <c r="D57" s="92"/>
      <c r="E57" s="92"/>
      <c r="F57" s="93"/>
      <c r="G57" s="22"/>
    </row>
    <row r="58" spans="1:7" s="25" customFormat="1" ht="14.25" customHeight="1">
      <c r="A58" s="94" t="s">
        <v>104</v>
      </c>
      <c r="B58" s="95"/>
      <c r="C58" s="95"/>
      <c r="D58" s="95"/>
      <c r="E58" s="95"/>
      <c r="F58" s="96"/>
      <c r="G58" s="24"/>
    </row>
    <row r="59" spans="1:7" s="25" customFormat="1" ht="14.25" customHeight="1">
      <c r="A59" s="97" t="s">
        <v>105</v>
      </c>
      <c r="B59" s="98"/>
      <c r="C59" s="98"/>
      <c r="D59" s="98"/>
      <c r="E59" s="98"/>
      <c r="F59" s="99"/>
      <c r="G59" s="24"/>
    </row>
    <row r="60" spans="1:7" ht="40.5" customHeight="1" thickBot="1">
      <c r="A60" s="83" t="s">
        <v>103</v>
      </c>
      <c r="B60" s="84"/>
      <c r="C60" s="84"/>
      <c r="D60" s="84"/>
      <c r="E60" s="84"/>
      <c r="F60" s="85"/>
      <c r="G60" s="22"/>
    </row>
    <row r="61" spans="1:7">
      <c r="A61" s="23"/>
      <c r="B61" s="23"/>
      <c r="C61" s="23"/>
      <c r="D61" s="23"/>
      <c r="E61" s="23"/>
      <c r="F61" s="23"/>
    </row>
    <row r="65" s="21" customFormat="1"/>
    <row r="66" s="21" customFormat="1"/>
    <row r="67" s="21" customFormat="1"/>
    <row r="68" s="21" customFormat="1"/>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F7C95EA3-5C5B-4F12-B856-3A2365A0C03D}">
      <formula1>$I$31:$I$36</formula1>
    </dataValidation>
    <dataValidation type="list" allowBlank="1" showInputMessage="1" showErrorMessage="1" sqref="B31" xr:uid="{BE5F7369-E89B-48DA-AE3D-4E8CB71E00A5}">
      <formula1>$H$31:$H$37</formula1>
    </dataValidation>
    <dataValidation type="list" allowBlank="1" showInputMessage="1" showErrorMessage="1" sqref="F37 F40" xr:uid="{1B37679E-625E-47B0-A353-77CE1A66AAD4}">
      <formula1>$I$37:$I$39</formula1>
    </dataValidation>
    <dataValidation type="list" allowBlank="1" showInputMessage="1" showErrorMessage="1" sqref="D40:E40" xr:uid="{D7858A0F-AA18-4317-9C59-FF399B969C79}">
      <formula1>$H$40:$H$43</formula1>
    </dataValidation>
  </dataValidations>
  <printOptions horizontalCentered="1"/>
  <pageMargins left="0.31496062992125984" right="0.31496062992125984" top="0.74803149606299213" bottom="0.74803149606299213" header="0.31496062992125984" footer="0.31496062992125984"/>
  <pageSetup paperSize="173" scale="6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5AE75494-665B-4470-891D-7B9F9399F22E}"/>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2026-01-30T22:56:43Z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