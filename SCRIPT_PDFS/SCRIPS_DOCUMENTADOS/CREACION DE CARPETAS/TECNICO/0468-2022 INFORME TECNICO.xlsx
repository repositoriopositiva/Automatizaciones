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468-2022\"/>
    </mc:Choice>
  </mc:AlternateContent>
  <xr:revisionPtr revIDLastSave="13" documentId="13_ncr:1_{CCEF7F23-0EFE-43D9-9F6D-D42FCBB46A6E}" xr6:coauthVersionLast="47" xr6:coauthVersionMax="47" xr10:uidLastSave="{9E136211-4940-446F-A991-A4E17C24DD6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<sst xmlns="http://schemas.openxmlformats.org/spreadsheetml/2006/main" count="143" uniqueCount="106">
  <si>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</si>
  <si>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</si>
  <si>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</si>
  <si>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</si>
  <si>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</si>
  <si>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</si>
  <si>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</si>
  <si>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</si>
  <si>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</si>
  <si>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</si>
  <si>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</si>
  <si>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</si>
  <si>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</si>
  <si>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</si>
  <si>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</si>
  <si>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</si>
  <si>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</si>
  <si>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</si>
  <si>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</si>
  <si>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</si>
  <si>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</si>
  <si>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0468-2022</t>
  </si>
  <si>
    <t>Prestación de Servicios</t>
  </si>
  <si>
    <t>No. de NIT</t>
  </si>
  <si>
    <t>Nombre y/o razón social del proveedor</t>
  </si>
  <si>
    <t>CORPORACIÓN MEDICA DEL CAQUETÁ -CORPOMEDICA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</si>
  <si>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</si>
  <si>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</si>
  <si>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</si>
  <si>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EL CONTRATISTA el valor de los servicios de salud, en caso de la atención de:
1. ANESTESIA 
2. CIRUGÍA DERMATOLÓGICA 
3. CIRUGIA GENERAL 
4. CIRUGÍA GENERAL 
5. CIRUGÍA GINECOLÓGICA 
6. CIRUGÍA MAXILOFACIAL
7. CIRUGÍA ORTOPÉDICA 
8. CIRUGÍA OTORRINOLARINGOLOGÍA 
9. CIRUGIA PLASTICA Y ESTETICA 
10. CIRUGÍA UROLÓGICA 
11. DOLOR Y CUIDADOS PALIATIVOS 
12. ENDODONCIA 
13. FISIOTERAPIA 
14. FONOAUDIOLOGÍA Y/O TERAPIA DEL LENGUAJE 
15. GASTROENTEROLOGÍA
16. GESTION PRE-TRANSFUSIONAL 
17. GINECOBSTETRICIA 
18. HOSPITALIZACIÓN ADULTOS 
19. IMÁGENES DIAGNOSTICAS - IONIZANTES
20. IMÁGENES DIAGNOSTICAS - NO IONIZANTES 
21. LABORATORIO CLÍNICO 
22. MEDICINA FÍSICA Y REHABILITACIÓN 
23. MEDICINA GENERAL
24. MEDICINA INTERNA 
25. NUTRICIÓN Y DIETÉTICA 
26. ODONTOLOGÍA GENERAL 
27. ORTOPEDIA Y/O TRAUMATOLOGÍA 
28. PSICOLOGÍA
29. TERAPIA OCUPACIONAL 
30. URGENCIAS 
31. MEDICAMENTOS E INSUMOMOS 
32. (MOS) MATERAL DE OSTEOSINTESIS
33. TRASPORTE ASISTENCIAL MEDICADILIZADO.
34. Demás servicios que se habiliten durante la vigencia del contrato previa concertación económica entre las partes</t>
  </si>
  <si>
    <t>3. MODIFICACIONES AL CONTRATO</t>
  </si>
  <si>
    <t>Otrosí No. 1</t>
  </si>
  <si>
    <t>Fecha de modificación: 
20-12-2024</t>
  </si>
  <si>
    <r>
      <t xml:space="preserve">Objeto de la modificación: </t>
    </r>
    <r>
      <rPr>
        <sz val="11"/>
        <color theme="1"/>
        <rFont val="Arial"/>
        <family val="2"/>
      </rPr>
      <t>Modificar la CLÁUSULA de OBLIGACIONES DEL CONTRATISTA,
Modificar la CLÁUSULA de DURACIÓN, Modificar la CLÁUSULA de INTERVENTORÍA, Modificar la CLÁUSULA de GARANTÍAS, Modificar la CLÁUSULA de SOLUCION DE CONTROVERSIAS Y MECANISMO ALTERNATIVO DE SOLUCIÓN DE CONFLICTOS, Modificar la CLÁUSULA de CONTINUIDAD DEL SERVICIO;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</si>
  <si>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</si>
  <si>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</si>
  <si>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</si>
  <si>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</si>
  <si>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</si>
  <si>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</si>
  <si>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</si>
  <si>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</si>
  <si>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</si>
  <si>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</si>
  <si>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</si>
  <si>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</si>
  <si>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</si>
  <si>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</si>
  <si>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</si>
  <si>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</si>
  <si>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</si>
  <si>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</si>
  <si>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</si>
  <si>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</si>
  <si>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</si>
  <si>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</si>
  <si>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</si>
  <si>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</si>
  <si>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</si>
  <si>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</si>
  <si>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</si>
  <si>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</si>
  <si>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</si>
  <si>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</si>
  <si>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</si>
  <si>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</si>
  <si>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</si>
  <si>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</si>
  <si>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</si>
  <si>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</si>
  <si>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</si>
  <si>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</si>
  <si>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</si>
  <si>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</si>
  <si>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</si>
  <si>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</si>
  <si>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</si>
  <si>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</si>
  <si>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</si>
  <si>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</si>
  <si>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</si>
  <si>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</si>
  <si>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</si>
  <si>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</si>
  <si>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</si>
  <si>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</si>
  <si>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</si>
  <si>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</si>
  <si>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</si>
  <si>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</si>
  <si>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</si>
  <si>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</si>
  <si>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</si>
  <si>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</si>
  <si>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</si>
  <si>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</si>
  <si>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</si>
  <si>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</si>
  <si>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Certificación de seguridad social y planilla de aportes parafiscales.
5. Autorizaciones generadas en periodo evaluado. 
6. Habilitación del proveedor.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</si>
  <si>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</si>
  <si>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</si>
  <si>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</si>
  <si>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</si>
  <si>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</si>
  <si>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 xml:space="preserve">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</si>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</sst>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theme="1"/>
      </top>
      <bottom/>
      <diagonal/>
    </border>
    <border>
      <left/>
      <right style="thin">
        <color indexed="64"/>
      </right>
      <top style="thin">
        <color theme="1"/>
      </top>
      <bottom/>
      <diagonal/>
    </border>
    <border>
      <left style="thin">
        <color indexed="64"/>
      </left>
      <right/>
      <top/>
      <bottom style="thin">
        <color theme="1"/>
      </bottom>
      <diagonal/>
    </border>
    <border>
      <left/>
      <right style="thin">
        <color indexed="64"/>
      </right>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3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14" fontId="16" fillId="0" borderId="40"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7" fillId="0" borderId="5" xfId="0" applyFont="1" applyBorder="1" applyAlignment="1">
      <alignment horizontal="left" vertical="center" wrapText="1"/>
    </xf>
    <xf numFmtId="0" fontId="16"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7" fillId="0" borderId="21" xfId="0" applyFont="1" applyBorder="1" applyAlignment="1">
      <alignmen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42" xfId="0" applyFont="1" applyBorder="1" applyAlignment="1">
      <alignment horizontal="left" vertical="center" wrapText="1"/>
    </xf>
    <xf numFmtId="0" fontId="13" fillId="0" borderId="29" xfId="0" applyFont="1" applyBorder="1" applyAlignment="1">
      <alignment horizontal="left" vertical="center" wrapText="1"/>
    </xf>
    <xf numFmtId="0" fontId="13" fillId="0" borderId="43" xfId="0" applyFont="1" applyBorder="1" applyAlignment="1">
      <alignment horizontal="left" vertical="center" wrapText="1"/>
    </xf>
    <xf numFmtId="0" fontId="13" fillId="0" borderId="44" xfId="0" applyFont="1" applyBorder="1" applyAlignment="1">
      <alignment horizontal="left" vertical="center" wrapText="1"/>
    </xf>
    <xf numFmtId="0" fontId="13" fillId="0" borderId="34" xfId="0" applyFont="1" applyBorder="1" applyAlignment="1">
      <alignment horizontal="left" vertical="center" wrapText="1"/>
    </xf>
    <xf numFmtId="0" fontId="13" fillId="0" borderId="45"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902500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466725</xdr:colOff>
      <xdr:row>57</xdr:row>
      <xdr:rowOff>47625</xdr:rowOff>
    </xdr:from>
    <xdr:to>
      <xdr:col>1</xdr:col>
      <xdr:colOff>185420</xdr:colOff>
      <xdr:row>57</xdr:row>
      <xdr:rowOff>403225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6725" y="15735300"/>
          <a:ext cx="1223645" cy="355600"/>
        </a:xfrm>
        <a:prstGeom prst="rect">
          <a:avLst/>
        </a:prstGeom>
        <a:noFill/>
        <a:ln>
          <a:noFill/>
        </a:ln>
      </xdr:spPr>
    </xdr:pic>
    <xdr:clientData/>
  </xdr:twoCellAnchor>
  <xdr:twoCellAnchor editAs="oneCell">
    <xdr:from>
      <xdr:col>0</xdr:col>
      <xdr:colOff>628650</xdr:colOff>
      <xdr:row>60</xdr:row>
      <xdr:rowOff>28575</xdr:rowOff>
    </xdr:from>
    <xdr:to>
      <xdr:col>1</xdr:col>
      <xdr:colOff>104775</xdr:colOff>
      <xdr:row>60</xdr:row>
      <xdr:rowOff>400050</xdr:rowOff>
    </xdr:to>
    <xdr:pic>
      <xdr:nvPicPr>
        <xdr:cNvPr id="5" name="Imagen 4">
          <a:extLst>
            <a:ext uri="{FF2B5EF4-FFF2-40B4-BE49-F238E27FC236}">
              <a16:creationId xmlns:a16="http://schemas.microsoft.com/office/drawing/2014/main" id="{2EE49EE7-0B66-B57A-67A9-792212848F3C}"/>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28650" y="28594050"/>
          <a:ext cx="981075"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44" zoomScale="80" zoomScaleNormal="80" zoomScaleSheetLayoutView="80" workbookViewId="0">
      <selection activeCell="A54" sqref="A54:F54"/>
    </sheetView>
  </sheetViews>
  <sheetFormatPr defaultColWidth="9.140625" defaultRowHeight="14.25"/>
  <cols>
    <col min="1" max="1" width="22.5703125" style="25" customWidth="1"/>
    <col min="2" max="2" width="24.85546875" style="25" customWidth="1"/>
    <col min="3" max="3" width="31.85546875" style="25" customWidth="1"/>
    <col min="4" max="4" width="32" style="25" customWidth="1"/>
    <col min="5" max="5" width="21.85546875" style="25" customWidth="1"/>
    <col min="6" max="6" width="16" style="25" customWidth="1"/>
    <col min="7" max="8" width="15.85546875" style="25" customWidth="1"/>
    <col min="9" max="16384" width="9.140625" style="25"/>
  </cols>
  <sheetData>
    <row r="1" spans="1:9" ht="23.25" customHeight="1">
      <c r="A1" s="35" t="s">
        <v>0</v>
      </c>
      <c r="B1" s="36"/>
      <c r="C1" s="36"/>
      <c r="D1" s="36"/>
      <c r="E1" s="36"/>
      <c r="F1" s="37"/>
      <c r="G1" s="34"/>
      <c r="H1" s="24"/>
      <c r="I1" s="24"/>
    </row>
    <row r="2" spans="1:9">
      <c r="A2" s="125" t="s">
        <v>17</v>
      </c>
      <c r="B2" s="126"/>
      <c r="C2" s="126"/>
      <c r="D2" s="126"/>
      <c r="E2" s="126"/>
      <c r="F2" s="38"/>
      <c r="G2" s="34"/>
      <c r="H2" s="24"/>
      <c r="I2" s="24"/>
    </row>
    <row r="3" spans="1:9" ht="23.25" customHeight="1">
      <c r="A3" s="39"/>
      <c r="B3" s="26"/>
      <c r="C3" s="26"/>
      <c r="D3" s="26"/>
      <c r="E3" s="26"/>
      <c r="F3" s="40"/>
      <c r="G3" s="34"/>
      <c r="H3" s="24"/>
      <c r="I3" s="24"/>
    </row>
    <row r="4" spans="1:9">
      <c r="A4" s="127" t="s">
        <v>18</v>
      </c>
      <c r="B4" s="128"/>
      <c r="C4" s="128"/>
      <c r="D4" s="128"/>
      <c r="E4" s="128"/>
      <c r="F4" s="129"/>
      <c r="G4" s="27"/>
      <c r="H4" s="26"/>
      <c r="I4" s="24"/>
    </row>
    <row r="5" spans="1:9" ht="15">
      <c r="A5" s="84" t="s">
        <v>19</v>
      </c>
      <c r="B5" s="69"/>
      <c r="C5" s="69"/>
      <c r="D5" s="69" t="s">
        <v>20</v>
      </c>
      <c r="E5" s="69"/>
      <c r="F5" s="90"/>
      <c r="G5" s="28"/>
    </row>
    <row r="6" spans="1:9">
      <c r="A6" s="130" t="s">
        <v>21</v>
      </c>
      <c r="B6" s="96"/>
      <c r="C6" s="96"/>
      <c r="D6" s="122" t="s">
        <v>22</v>
      </c>
      <c r="E6" s="123"/>
      <c r="F6" s="124"/>
      <c r="G6" s="28"/>
    </row>
    <row r="7" spans="1:9" ht="15">
      <c r="A7" s="84" t="s">
        <v>23</v>
      </c>
      <c r="B7" s="69"/>
      <c r="C7" s="69"/>
      <c r="D7" s="69" t="s">
        <v>24</v>
      </c>
      <c r="E7" s="69"/>
      <c r="F7" s="90"/>
      <c r="G7" s="28"/>
    </row>
    <row r="8" spans="1:9" ht="30" customHeight="1">
      <c r="A8" s="102">
        <v>828000073</v>
      </c>
      <c r="B8" s="103"/>
      <c r="C8" s="103"/>
      <c r="D8" s="103" t="s">
        <v>25</v>
      </c>
      <c r="E8" s="103"/>
      <c r="F8" s="104"/>
      <c r="G8" s="28"/>
    </row>
    <row r="9" spans="1:9" ht="15">
      <c r="A9" s="84" t="s">
        <v>26</v>
      </c>
      <c r="B9" s="69"/>
      <c r="C9" s="69"/>
      <c r="D9" s="121">
        <v>44915</v>
      </c>
      <c r="E9" s="96"/>
      <c r="F9" s="97"/>
      <c r="G9" s="28"/>
    </row>
    <row r="10" spans="1:9" ht="15">
      <c r="A10" s="84" t="s">
        <v>27</v>
      </c>
      <c r="B10" s="69"/>
      <c r="C10" s="69"/>
      <c r="D10" s="121">
        <v>46402</v>
      </c>
      <c r="E10" s="96"/>
      <c r="F10" s="97"/>
      <c r="G10" s="28"/>
    </row>
    <row r="11" spans="1:9" ht="13.5" customHeight="1">
      <c r="A11" s="84" t="s">
        <v>28</v>
      </c>
      <c r="B11" s="69"/>
      <c r="C11" s="69"/>
      <c r="D11" s="69"/>
      <c r="E11" s="69"/>
      <c r="F11" s="90"/>
      <c r="G11" s="28"/>
    </row>
    <row r="12" spans="1:9" ht="409.5" customHeight="1">
      <c r="A12" s="115" t="s">
        <v>29</v>
      </c>
      <c r="B12" s="116"/>
      <c r="C12" s="116"/>
      <c r="D12" s="116"/>
      <c r="E12" s="116"/>
      <c r="F12" s="117"/>
      <c r="G12" s="28"/>
    </row>
    <row r="13" spans="1:9" ht="147.75" customHeight="1">
      <c r="A13" s="118"/>
      <c r="B13" s="119"/>
      <c r="C13" s="119"/>
      <c r="D13" s="119"/>
      <c r="E13" s="119"/>
      <c r="F13" s="120"/>
      <c r="G13" s="28"/>
    </row>
    <row r="14" spans="1:9" ht="15">
      <c r="A14" s="84" t="s">
        <v>30</v>
      </c>
      <c r="B14" s="69"/>
      <c r="C14" s="69"/>
      <c r="D14" s="69"/>
      <c r="E14" s="69"/>
      <c r="F14" s="90"/>
      <c r="G14" s="28"/>
    </row>
    <row r="15" spans="1:9" ht="98.25" customHeight="1">
      <c r="A15" s="42" t="s">
        <v>31</v>
      </c>
      <c r="B15" s="20" t="s">
        <v>32</v>
      </c>
      <c r="C15" s="113" t="s">
        <v>33</v>
      </c>
      <c r="D15" s="113"/>
      <c r="E15" s="113"/>
      <c r="F15" s="114"/>
      <c r="G15" s="28"/>
    </row>
    <row r="16" spans="1:9" ht="15">
      <c r="A16" s="84" t="s">
        <v>34</v>
      </c>
      <c r="B16" s="69"/>
      <c r="C16" s="69"/>
      <c r="D16" s="69"/>
      <c r="E16" s="69"/>
      <c r="F16" s="90"/>
      <c r="G16" s="28"/>
    </row>
    <row r="17" spans="1:7" ht="15">
      <c r="A17" s="84" t="s">
        <v>35</v>
      </c>
      <c r="B17" s="69"/>
      <c r="C17" s="31" t="s">
        <v>36</v>
      </c>
      <c r="D17" s="29" t="s">
        <v>37</v>
      </c>
      <c r="E17" s="96" t="s">
        <v>38</v>
      </c>
      <c r="F17" s="97"/>
      <c r="G17" s="28"/>
    </row>
    <row r="18" spans="1:7" ht="15">
      <c r="A18" s="84" t="s">
        <v>39</v>
      </c>
      <c r="B18" s="69"/>
      <c r="C18" s="69"/>
      <c r="D18" s="69"/>
      <c r="E18" s="69"/>
      <c r="F18" s="90"/>
      <c r="G18" s="28"/>
    </row>
    <row r="19" spans="1:7" ht="20.25" customHeight="1">
      <c r="A19" s="102" t="s">
        <v>40</v>
      </c>
      <c r="B19" s="103"/>
      <c r="C19" s="103"/>
      <c r="D19" s="103"/>
      <c r="E19" s="103"/>
      <c r="F19" s="104"/>
      <c r="G19" s="28"/>
    </row>
    <row r="20" spans="1:7" ht="15">
      <c r="A20" s="84" t="s">
        <v>41</v>
      </c>
      <c r="B20" s="69"/>
      <c r="C20" s="69"/>
      <c r="D20" s="69"/>
      <c r="E20" s="69"/>
      <c r="F20" s="90"/>
      <c r="G20" s="28"/>
    </row>
    <row r="21" spans="1:7" ht="51" customHeight="1">
      <c r="A21" s="102" t="s">
        <v>42</v>
      </c>
      <c r="B21" s="103"/>
      <c r="C21" s="103"/>
      <c r="D21" s="103"/>
      <c r="E21" s="103"/>
      <c r="F21" s="104"/>
      <c r="G21" s="28"/>
    </row>
    <row r="22" spans="1:7" ht="15">
      <c r="A22" s="70" t="s">
        <v>43</v>
      </c>
      <c r="B22" s="71"/>
      <c r="C22" s="71"/>
      <c r="D22" s="71"/>
      <c r="E22" s="71"/>
      <c r="F22" s="72"/>
      <c r="G22" s="28"/>
    </row>
    <row r="23" spans="1:7" ht="15">
      <c r="A23" s="105" t="s">
        <v>44</v>
      </c>
      <c r="B23" s="105" t="s">
        <v>45</v>
      </c>
      <c r="C23" s="105" t="s">
        <v>46</v>
      </c>
      <c r="D23" s="105" t="s">
        <v>47</v>
      </c>
      <c r="E23" s="70" t="s">
        <v>48</v>
      </c>
      <c r="F23" s="72"/>
      <c r="G23" s="28"/>
    </row>
    <row r="24" spans="1:7" ht="15">
      <c r="A24" s="106"/>
      <c r="B24" s="106"/>
      <c r="C24" s="106"/>
      <c r="D24" s="106"/>
      <c r="E24" s="21" t="s">
        <v>49</v>
      </c>
      <c r="F24" s="21" t="s">
        <v>50</v>
      </c>
      <c r="G24" s="28"/>
    </row>
    <row r="25" spans="1:7" ht="21" customHeight="1">
      <c r="A25" s="107" t="s">
        <v>51</v>
      </c>
      <c r="B25" s="23" t="s">
        <v>52</v>
      </c>
      <c r="C25" s="22" t="s">
        <v>53</v>
      </c>
      <c r="D25" s="22" t="s">
        <v>53</v>
      </c>
      <c r="E25" s="22" t="s">
        <v>53</v>
      </c>
      <c r="F25" s="41" t="s">
        <v>53</v>
      </c>
      <c r="G25" s="28"/>
    </row>
    <row r="26" spans="1:7" ht="21" customHeight="1">
      <c r="A26" s="108"/>
      <c r="B26" s="23" t="s">
        <v>54</v>
      </c>
      <c r="C26" s="22" t="s">
        <v>53</v>
      </c>
      <c r="D26" s="22" t="s">
        <v>53</v>
      </c>
      <c r="E26" s="22" t="s">
        <v>53</v>
      </c>
      <c r="F26" s="41" t="s">
        <v>53</v>
      </c>
      <c r="G26" s="28"/>
    </row>
    <row r="27" spans="1:7" ht="52.5" customHeight="1">
      <c r="A27" s="109"/>
      <c r="B27" s="23" t="s">
        <v>55</v>
      </c>
      <c r="C27" s="22" t="s">
        <v>53</v>
      </c>
      <c r="D27" s="22" t="s">
        <v>53</v>
      </c>
      <c r="E27" s="22" t="s">
        <v>53</v>
      </c>
      <c r="F27" s="41" t="s">
        <v>53</v>
      </c>
      <c r="G27" s="28"/>
    </row>
    <row r="28" spans="1:7" ht="64.5" customHeight="1">
      <c r="A28" s="43" t="s">
        <v>56</v>
      </c>
      <c r="B28" s="23" t="s">
        <v>57</v>
      </c>
      <c r="C28" s="22" t="s">
        <v>53</v>
      </c>
      <c r="D28" s="22" t="s">
        <v>53</v>
      </c>
      <c r="E28" s="22" t="s">
        <v>53</v>
      </c>
      <c r="F28" s="41" t="s">
        <v>53</v>
      </c>
      <c r="G28" s="28"/>
    </row>
    <row r="29" spans="1:7" ht="101.25" customHeight="1">
      <c r="A29" s="43" t="s">
        <v>58</v>
      </c>
      <c r="B29" s="23" t="s">
        <v>59</v>
      </c>
      <c r="C29" s="46" t="s">
        <v>60</v>
      </c>
      <c r="D29" s="47">
        <v>1006939</v>
      </c>
      <c r="E29" s="48">
        <v>45730</v>
      </c>
      <c r="F29" s="49">
        <v>46095</v>
      </c>
      <c r="G29" s="28"/>
    </row>
    <row r="30" spans="1:7" ht="15">
      <c r="A30" s="110" t="s">
        <v>61</v>
      </c>
      <c r="B30" s="111"/>
      <c r="C30" s="111"/>
      <c r="D30" s="111"/>
      <c r="E30" s="111"/>
      <c r="F30" s="112"/>
      <c r="G30" s="28"/>
    </row>
    <row r="31" spans="1:7" ht="15">
      <c r="A31" s="21" t="s">
        <v>62</v>
      </c>
      <c r="B31" s="21" t="s">
        <v>63</v>
      </c>
      <c r="C31" s="21" t="s">
        <v>64</v>
      </c>
      <c r="D31" s="110" t="s">
        <v>65</v>
      </c>
      <c r="E31" s="112"/>
      <c r="F31" s="21" t="s">
        <v>66</v>
      </c>
      <c r="G31" s="28"/>
    </row>
    <row r="32" spans="1:7" ht="195" customHeight="1">
      <c r="A32" s="43" t="s">
        <v>67</v>
      </c>
      <c r="B32" s="22" t="s">
        <v>68</v>
      </c>
      <c r="C32" s="22" t="s">
        <v>69</v>
      </c>
      <c r="D32" s="76" t="s">
        <v>70</v>
      </c>
      <c r="E32" s="77"/>
      <c r="F32" s="22" t="s">
        <v>71</v>
      </c>
      <c r="G32" s="28"/>
    </row>
    <row r="33" spans="1:7" ht="26.25" customHeight="1">
      <c r="A33" s="43" t="s">
        <v>72</v>
      </c>
      <c r="B33" s="22" t="s">
        <v>53</v>
      </c>
      <c r="C33" s="22" t="s">
        <v>53</v>
      </c>
      <c r="D33" s="76" t="s">
        <v>53</v>
      </c>
      <c r="E33" s="77"/>
      <c r="F33" s="22" t="s">
        <v>53</v>
      </c>
      <c r="G33" s="28"/>
    </row>
    <row r="34" spans="1:7" ht="19.5" customHeight="1">
      <c r="A34" s="43" t="s">
        <v>73</v>
      </c>
      <c r="B34" s="22" t="s">
        <v>53</v>
      </c>
      <c r="C34" s="22" t="s">
        <v>53</v>
      </c>
      <c r="D34" s="76" t="s">
        <v>53</v>
      </c>
      <c r="E34" s="77"/>
      <c r="F34" s="22" t="s">
        <v>53</v>
      </c>
      <c r="G34" s="28"/>
    </row>
    <row r="35" spans="1:7" ht="28.5">
      <c r="A35" s="43" t="s">
        <v>74</v>
      </c>
      <c r="B35" s="22" t="s">
        <v>53</v>
      </c>
      <c r="C35" s="22" t="s">
        <v>53</v>
      </c>
      <c r="D35" s="76" t="s">
        <v>53</v>
      </c>
      <c r="E35" s="77"/>
      <c r="F35" s="22" t="s">
        <v>53</v>
      </c>
      <c r="G35" s="28"/>
    </row>
    <row r="36" spans="1:7" ht="15">
      <c r="A36" s="78" t="s">
        <v>75</v>
      </c>
      <c r="B36" s="79"/>
      <c r="C36" s="79"/>
      <c r="D36" s="79"/>
      <c r="E36" s="79"/>
      <c r="F36" s="80"/>
      <c r="G36" s="28"/>
    </row>
    <row r="37" spans="1:7" ht="15">
      <c r="A37" s="61" t="s">
        <v>76</v>
      </c>
      <c r="B37" s="61"/>
      <c r="C37" s="44" t="s">
        <v>64</v>
      </c>
      <c r="D37" s="61" t="s">
        <v>65</v>
      </c>
      <c r="E37" s="61"/>
      <c r="F37" s="44" t="s">
        <v>77</v>
      </c>
      <c r="G37" s="28"/>
    </row>
    <row r="38" spans="1:7" ht="41.25" customHeight="1">
      <c r="A38" s="66" t="s">
        <v>78</v>
      </c>
      <c r="B38" s="66"/>
      <c r="C38" s="45" t="s">
        <v>79</v>
      </c>
      <c r="D38" s="67" t="s">
        <v>80</v>
      </c>
      <c r="E38" s="68"/>
      <c r="F38" s="45" t="s">
        <v>81</v>
      </c>
      <c r="G38" s="28"/>
    </row>
    <row r="39" spans="1:7" ht="15">
      <c r="A39" s="58" t="s">
        <v>82</v>
      </c>
      <c r="B39" s="59"/>
      <c r="C39" s="59"/>
      <c r="D39" s="59"/>
      <c r="E39" s="59"/>
      <c r="F39" s="60"/>
      <c r="G39" s="28"/>
    </row>
    <row r="40" spans="1:7" ht="15">
      <c r="A40" s="61" t="s">
        <v>76</v>
      </c>
      <c r="B40" s="61"/>
      <c r="C40" s="44" t="s">
        <v>64</v>
      </c>
      <c r="D40" s="61" t="s">
        <v>65</v>
      </c>
      <c r="E40" s="61"/>
      <c r="F40" s="44" t="s">
        <v>77</v>
      </c>
      <c r="G40" s="28"/>
    </row>
    <row r="41" spans="1:7" ht="68.25" customHeight="1">
      <c r="A41" s="62" t="s">
        <v>83</v>
      </c>
      <c r="B41" s="63"/>
      <c r="C41" s="22" t="s">
        <v>79</v>
      </c>
      <c r="D41" s="64" t="s">
        <v>84</v>
      </c>
      <c r="E41" s="65"/>
      <c r="F41" s="22" t="s">
        <v>81</v>
      </c>
      <c r="G41" s="28"/>
    </row>
    <row r="42" spans="1:7" ht="15">
      <c r="A42" s="69" t="s">
        <v>85</v>
      </c>
      <c r="B42" s="69"/>
      <c r="C42" s="69"/>
      <c r="D42" s="69"/>
      <c r="E42" s="69"/>
      <c r="F42" s="69"/>
      <c r="G42" s="28"/>
    </row>
    <row r="43" spans="1:7" ht="15">
      <c r="A43" s="70" t="s">
        <v>86</v>
      </c>
      <c r="B43" s="71"/>
      <c r="C43" s="72"/>
      <c r="D43" s="73">
        <v>9</v>
      </c>
      <c r="E43" s="74"/>
      <c r="F43" s="75"/>
      <c r="G43" s="28"/>
    </row>
    <row r="44" spans="1:7" ht="74.25" customHeight="1">
      <c r="A44" s="56" t="s">
        <v>87</v>
      </c>
      <c r="B44" s="57"/>
      <c r="C44" s="57"/>
      <c r="D44" s="57"/>
      <c r="E44" s="57"/>
      <c r="F44" s="57"/>
      <c r="G44" s="28"/>
    </row>
    <row r="45" spans="1:7" ht="15">
      <c r="A45" s="84" t="s">
        <v>88</v>
      </c>
      <c r="B45" s="85"/>
      <c r="C45" s="85"/>
      <c r="D45" s="85"/>
      <c r="E45" s="85"/>
      <c r="F45" s="86"/>
      <c r="G45" s="28"/>
    </row>
    <row r="46" spans="1:7" ht="15">
      <c r="A46" s="84" t="s">
        <v>89</v>
      </c>
      <c r="B46" s="69"/>
      <c r="C46" s="69"/>
      <c r="D46" s="96" t="s">
        <v>90</v>
      </c>
      <c r="E46" s="96"/>
      <c r="F46" s="97"/>
      <c r="G46" s="28"/>
    </row>
    <row r="47" spans="1:7" ht="15">
      <c r="A47" s="84" t="s">
        <v>91</v>
      </c>
      <c r="B47" s="69"/>
      <c r="C47" s="69"/>
      <c r="D47" s="96" t="s">
        <v>92</v>
      </c>
      <c r="E47" s="96"/>
      <c r="F47" s="97"/>
      <c r="G47" s="28"/>
    </row>
    <row r="48" spans="1:7" ht="30" customHeight="1">
      <c r="A48" s="84" t="s">
        <v>93</v>
      </c>
      <c r="B48" s="69"/>
      <c r="C48" s="69"/>
      <c r="D48" s="98">
        <v>54891974</v>
      </c>
      <c r="E48" s="98"/>
      <c r="F48" s="99"/>
      <c r="G48" s="28"/>
    </row>
    <row r="49" spans="1:7" ht="15">
      <c r="A49" s="84" t="s">
        <v>94</v>
      </c>
      <c r="B49" s="69"/>
      <c r="C49" s="69"/>
      <c r="D49" s="98">
        <v>650634</v>
      </c>
      <c r="E49" s="98"/>
      <c r="F49" s="99"/>
      <c r="G49" s="28"/>
    </row>
    <row r="50" spans="1:7" ht="15">
      <c r="A50" s="84" t="s">
        <v>95</v>
      </c>
      <c r="B50" s="69"/>
      <c r="C50" s="69"/>
      <c r="D50" s="98">
        <v>0</v>
      </c>
      <c r="E50" s="98"/>
      <c r="F50" s="99"/>
      <c r="G50" s="28"/>
    </row>
    <row r="51" spans="1:7" ht="32.25" customHeight="1">
      <c r="A51" s="84" t="s">
        <v>96</v>
      </c>
      <c r="B51" s="69"/>
      <c r="C51" s="69"/>
      <c r="D51" s="100">
        <f>+D48+D49+D50</f>
        <v>55542608</v>
      </c>
      <c r="E51" s="100"/>
      <c r="F51" s="101"/>
      <c r="G51" s="28"/>
    </row>
    <row r="52" spans="1:7" ht="15">
      <c r="A52" s="84" t="s">
        <v>97</v>
      </c>
      <c r="B52" s="85"/>
      <c r="C52" s="85"/>
      <c r="D52" s="85"/>
      <c r="E52" s="85"/>
      <c r="F52" s="86"/>
      <c r="G52" s="28"/>
    </row>
    <row r="53" spans="1:7" ht="93.75" customHeight="1">
      <c r="A53" s="87" t="s">
        <v>98</v>
      </c>
      <c r="B53" s="88"/>
      <c r="C53" s="88"/>
      <c r="D53" s="88"/>
      <c r="E53" s="88"/>
      <c r="F53" s="89"/>
      <c r="G53" s="28"/>
    </row>
    <row r="54" spans="1:7" ht="15">
      <c r="A54" s="84" t="s">
        <v>99</v>
      </c>
      <c r="B54" s="69"/>
      <c r="C54" s="69"/>
      <c r="D54" s="69"/>
      <c r="E54" s="69"/>
      <c r="F54" s="90"/>
      <c r="G54" s="28"/>
    </row>
    <row r="55" spans="1:7" ht="15">
      <c r="A55" s="84" t="s">
        <v>100</v>
      </c>
      <c r="B55" s="85"/>
      <c r="C55" s="85"/>
      <c r="D55" s="85"/>
      <c r="E55" s="85"/>
      <c r="F55" s="86"/>
      <c r="G55" s="28"/>
    </row>
    <row r="56" spans="1:7" s="33" customFormat="1">
      <c r="A56" s="91" t="s">
        <v>101</v>
      </c>
      <c r="B56" s="92"/>
      <c r="C56" s="92"/>
      <c r="D56" s="92"/>
      <c r="E56" s="92"/>
      <c r="F56" s="93"/>
      <c r="G56" s="32"/>
    </row>
    <row r="57" spans="1:7" s="33" customFormat="1">
      <c r="A57" s="91" t="s">
        <v>102</v>
      </c>
      <c r="B57" s="92"/>
      <c r="C57" s="92"/>
      <c r="D57" s="92"/>
      <c r="E57" s="92"/>
      <c r="F57" s="93"/>
      <c r="G57" s="32"/>
    </row>
    <row r="58" spans="1:7" s="33" customFormat="1" ht="37.5" customHeight="1">
      <c r="A58" s="94" t="s">
        <v>103</v>
      </c>
      <c r="B58" s="92"/>
      <c r="C58" s="92"/>
      <c r="D58" s="92"/>
      <c r="E58" s="92"/>
      <c r="F58" s="93"/>
      <c r="G58" s="32"/>
    </row>
    <row r="59" spans="1:7" s="33" customFormat="1">
      <c r="A59" s="95" t="s">
        <v>104</v>
      </c>
      <c r="B59" s="92"/>
      <c r="C59" s="92"/>
      <c r="D59" s="92"/>
      <c r="E59" s="92"/>
      <c r="F59" s="93"/>
      <c r="G59" s="32"/>
    </row>
    <row r="60" spans="1:7" s="33" customFormat="1">
      <c r="A60" s="91" t="s">
        <v>105</v>
      </c>
      <c r="B60" s="92"/>
      <c r="C60" s="92"/>
      <c r="D60" s="92"/>
      <c r="E60" s="92"/>
      <c r="F60" s="93"/>
      <c r="G60" s="32"/>
    </row>
    <row r="61" spans="1:7" s="33" customFormat="1" ht="37.5" customHeight="1">
      <c r="A61" s="81" t="s">
        <v>103</v>
      </c>
      <c r="B61" s="82"/>
      <c r="C61" s="82"/>
      <c r="D61" s="82"/>
      <c r="E61" s="82"/>
      <c r="F61" s="83"/>
      <c r="G61" s="32"/>
    </row>
    <row r="62" spans="1:7">
      <c r="A62" s="30"/>
      <c r="B62" s="30"/>
      <c r="C62" s="30"/>
      <c r="D62" s="30"/>
      <c r="E62" s="30"/>
      <c r="F62"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4:F14"/>
    <mergeCell ref="C15:F15"/>
    <mergeCell ref="A18:F18"/>
    <mergeCell ref="A11:F11"/>
    <mergeCell ref="A16:F16"/>
    <mergeCell ref="A17:B17"/>
    <mergeCell ref="E17:F17"/>
    <mergeCell ref="A12:F13"/>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51:C51"/>
    <mergeCell ref="D48:F48"/>
    <mergeCell ref="D49:F49"/>
    <mergeCell ref="D50:F50"/>
    <mergeCell ref="D51:F51"/>
    <mergeCell ref="A47:C47"/>
    <mergeCell ref="A48:C48"/>
    <mergeCell ref="D47:F47"/>
    <mergeCell ref="A49:C49"/>
    <mergeCell ref="A50:C50"/>
    <mergeCell ref="A61:F61"/>
    <mergeCell ref="A52:F52"/>
    <mergeCell ref="A53:F53"/>
    <mergeCell ref="A54:F54"/>
    <mergeCell ref="A55:F55"/>
    <mergeCell ref="A57:F57"/>
    <mergeCell ref="A58:F58"/>
    <mergeCell ref="A59:F59"/>
    <mergeCell ref="A60:F60"/>
    <mergeCell ref="A56:F56"/>
    <mergeCell ref="D33:E33"/>
    <mergeCell ref="D34:E34"/>
    <mergeCell ref="D35:E35"/>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dataValidations disablePrompts="1" count="4">
    <dataValidation type="list" allowBlank="1" showInputMessage="1" showErrorMessage="1" sqref="C32" xr:uid="{844027D6-F2E9-482D-96B5-106483D47F19}">
      <formula1>$I$32:$I$37</formula1>
    </dataValidation>
    <dataValidation type="list" allowBlank="1" showInputMessage="1" showErrorMessage="1" sqref="B32" xr:uid="{4FA213D8-B487-4A19-BA5E-EE47689587EF}">
      <formula1>$H$32:$H$38</formula1>
    </dataValidation>
    <dataValidation type="list" allowBlank="1" showInputMessage="1" showErrorMessage="1" sqref="F38 F41" xr:uid="{B001D880-0ED4-47DC-A353-4B527FE22190}">
      <formula1>$I$38:$I$40</formula1>
    </dataValidation>
    <dataValidation type="list" allowBlank="1" showInputMessage="1" showErrorMessage="1" sqref="D41:E41" xr:uid="{EBB834C5-E9F6-4974-B8C8-E6FE7121A5BB}">
      <formula1>$H$41:$H$44</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15" max="5" man="1"/>
    <brk id="4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05CAA0B-5569-446A-B66F-6EEB029706CD}"/>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2026-01-27T14:15:34Z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