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AGS\DESARROLLO\GITHUB\Automatizaciones\SCRIPT_PDFS\SCRIPS_DOCUMENTADOS\PDF CALIDAD\IPS CON MEDICION 4 INDICADORES\"/>
    </mc:Choice>
  </mc:AlternateContent>
  <xr:revisionPtr revIDLastSave="0" documentId="13_ncr:1_{510F2B51-238B-4D6D-964C-AE3C3C931481}" xr6:coauthVersionLast="47" xr6:coauthVersionMax="47" xr10:uidLastSave="{00000000-0000-0000-0000-000000000000}"/>
  <bookViews>
    <workbookView xWindow="19080" yWindow="-120" windowWidth="19440" windowHeight="14880" xr2:uid="{7F76B178-B5D4-4098-B7B9-F39AFCAC640C}"/>
  </bookViews>
  <sheets>
    <sheet name="Hoja1" sheetId="1" r:id="rId1"/>
  </sheets>
  <definedNames>
    <definedName name="_xlnm._FilterDatabase" localSheetId="0" hidden="1">Hoja1!$A$1:$T$1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M3" i="1"/>
  <c r="N3" i="1"/>
  <c r="O3" i="1"/>
  <c r="P3" i="1"/>
  <c r="M4" i="1"/>
  <c r="N4" i="1"/>
  <c r="O4" i="1"/>
  <c r="P4" i="1"/>
  <c r="S4" i="1"/>
  <c r="M5" i="1"/>
  <c r="N5" i="1"/>
  <c r="O5" i="1"/>
  <c r="P5" i="1"/>
  <c r="Q5" i="1"/>
  <c r="R5" i="1"/>
  <c r="S5" i="1"/>
  <c r="M6" i="1"/>
  <c r="N6" i="1"/>
  <c r="O6" i="1"/>
  <c r="P6" i="1"/>
  <c r="M7" i="1"/>
  <c r="N7" i="1"/>
  <c r="O7" i="1"/>
  <c r="P7" i="1"/>
  <c r="K5" i="1"/>
  <c r="K6" i="1"/>
  <c r="K7" i="1"/>
  <c r="K2" i="1"/>
  <c r="I3" i="1"/>
  <c r="S3" i="1" s="1"/>
  <c r="I4" i="1"/>
  <c r="Q4" i="1" s="1"/>
  <c r="I5" i="1"/>
  <c r="I6" i="1"/>
  <c r="Q6" i="1" s="1"/>
  <c r="I7" i="1"/>
  <c r="Q7" i="1" s="1"/>
  <c r="I2" i="1"/>
  <c r="Q2" i="1" s="1"/>
  <c r="R4" i="1" l="1"/>
  <c r="S7" i="1"/>
  <c r="R3" i="1"/>
  <c r="Q3" i="1"/>
  <c r="S6" i="1"/>
  <c r="R6" i="1"/>
  <c r="R7" i="1"/>
  <c r="S2" i="1"/>
  <c r="R2" i="1"/>
</calcChain>
</file>

<file path=xl/sharedStrings.xml><?xml version="1.0" encoding="utf-8"?>
<sst xmlns="http://schemas.openxmlformats.org/spreadsheetml/2006/main" count="43" uniqueCount="33">
  <si>
    <t>campoa</t>
  </si>
  <si>
    <t>campob</t>
  </si>
  <si>
    <t>campoc</t>
  </si>
  <si>
    <t>campod</t>
  </si>
  <si>
    <t>campoe</t>
  </si>
  <si>
    <t>campof</t>
  </si>
  <si>
    <t>campog</t>
  </si>
  <si>
    <t>campoh</t>
  </si>
  <si>
    <t>campoi</t>
  </si>
  <si>
    <t>campoj</t>
  </si>
  <si>
    <t>campok</t>
  </si>
  <si>
    <t>campol</t>
  </si>
  <si>
    <t>campom</t>
  </si>
  <si>
    <t>campon</t>
  </si>
  <si>
    <t>campoo</t>
  </si>
  <si>
    <t>campop</t>
  </si>
  <si>
    <t>campoq</t>
  </si>
  <si>
    <t>campor</t>
  </si>
  <si>
    <t>campos</t>
  </si>
  <si>
    <t>I TRIMESTRE</t>
  </si>
  <si>
    <t>20.04.2026</t>
  </si>
  <si>
    <t>0280-2022</t>
  </si>
  <si>
    <t>0984-2021</t>
  </si>
  <si>
    <t>0920-2024</t>
  </si>
  <si>
    <t>0905-2021</t>
  </si>
  <si>
    <t>0124-2026</t>
  </si>
  <si>
    <t>0561-2024</t>
  </si>
  <si>
    <t>ESE SOR TERESA ADELE</t>
  </si>
  <si>
    <t>EMPRESA SOCIAL DEL ESTADO SALUD PEREIRA</t>
  </si>
  <si>
    <t>EMPRESA SOCIAL DEL ESTADO HOSPITAL SAN ANTONIO DE SESQUILE</t>
  </si>
  <si>
    <t>E.S.E. CENTRO DE SALUD DE TAUSA</t>
  </si>
  <si>
    <t>CLÍNICA OSPEDALE MANIZALES S.A</t>
  </si>
  <si>
    <t>PARAMEDICOS S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</si>
</sst>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9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7F28-2581-40E8-9FC3-C11753EC3402}">
  <dimension ref="A1:T7"/>
  <sheetViews>
    <sheetView tabSelected="1" topLeftCell="H3" workbookViewId="0">
      <selection activeCell="N2" sqref="N2:N7"/>
    </sheetView>
  </sheetViews>
  <sheetFormatPr baseColWidth="10" defaultColWidth="11.375" defaultRowHeight="14.25"/>
  <cols>
    <col min="1" max="1" width="19.625" style="1" bestFit="1" customWidth="1"/>
    <col min="2" max="2" width="26.375" style="1" bestFit="1" customWidth="1"/>
    <col min="3" max="3" width="12.375" style="1" bestFit="1" customWidth="1"/>
    <col min="4" max="12" width="11.375" style="1"/>
    <col min="13" max="13" width="13.375" style="1" bestFit="1" customWidth="1"/>
    <col min="14" max="16" width="12.875" style="1" bestFit="1" customWidth="1"/>
    <col min="17" max="19" width="11.375" style="1"/>
  </cols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/>
    </row>
    <row r="2" spans="1:20" ht="85.5">
      <c r="A2" s="1" t="s">
        <v>20</v>
      </c>
      <c r="B2" s="1" t="s">
        <v>19</v>
      </c>
      <c r="C2" s="5" t="s">
        <v>27</v>
      </c>
      <c r="D2" s="4" t="s">
        <v>21</v>
      </c>
      <c r="E2" s="3">
        <v>4</v>
      </c>
      <c r="F2" s="3">
        <v>4</v>
      </c>
      <c r="G2" s="3">
        <v>4</v>
      </c>
      <c r="H2" s="3">
        <v>4</v>
      </c>
      <c r="I2" s="1">
        <f>AVERAGE(E2:H2)</f>
        <v>4</v>
      </c>
      <c r="J2" s="4">
        <v>24</v>
      </c>
      <c r="K2" s="1">
        <f>J2/2</f>
        <v>12</v>
      </c>
      <c r="L2" s="1">
        <v>12</v>
      </c>
      <c r="M2" s="2" t="str">
        <f t="shared" ref="M2:M7" si="0">IF(E2&gt;=4,"cumplimiento del indicador","no cumplimiento con el indicador")</f>
        <v>cumplimiento del indicador</v>
      </c>
      <c r="N2" s="2" t="str">
        <f t="shared" ref="N2:N7" si="1">IF(F2&gt;=4,"cumplimiento del indicador","no cumplimiento con el indicador")</f>
        <v>cumplimiento del indicador</v>
      </c>
      <c r="O2" s="2" t="str">
        <f t="shared" ref="O2:O7" si="2">IF(G2&gt;=4,"cumplimiento del indicador","no cumplimiento con el indicador")</f>
        <v>cumplimiento del indicador</v>
      </c>
      <c r="P2" s="2" t="str">
        <f t="shared" ref="P2:P7" si="3">IF(H2&gt;=4,"cumplimiento del indicador","no cumplimiento con el indicador")</f>
        <v>cumplimiento del indicador</v>
      </c>
      <c r="Q2" s="2" t="str">
        <f t="shared" ref="Q2:Q7" si="4">IF(I2&gt;=4,"Cumplimiento en la evaluación de los indicadores.","No cumplimiento en la evaluación de los indicadores.")</f>
        <v>Cumplimiento en la evaluación de los indicadores.</v>
      </c>
      <c r="R2" s="2" t="str">
        <f t="shared" ref="R2:R7" si="5">IF(I2&gt;=4,"no se requiere plan de mejora","Se requiere plan de mejora.")</f>
        <v>no se requiere plan de mejora</v>
      </c>
      <c r="S2" s="2" t="str">
        <f t="shared" ref="S2:S7" si="6">IF(I2&gt;=4,"se evidencia cumplimiento en la evaluacion de los indicadores","se evidencia incumplimiento en la evaluacion de los indicadores")</f>
        <v>se evidencia cumplimiento en la evaluacion de los indicadores</v>
      </c>
    </row>
    <row r="3" spans="1:20" ht="85.5">
      <c r="A3" s="1" t="s">
        <v>20</v>
      </c>
      <c r="B3" s="1" t="s">
        <v>19</v>
      </c>
      <c r="C3" s="4" t="s">
        <v>28</v>
      </c>
      <c r="D3" s="5" t="s">
        <v>22</v>
      </c>
      <c r="E3" s="3">
        <v>5</v>
      </c>
      <c r="F3" s="3">
        <v>5</v>
      </c>
      <c r="G3" s="3">
        <v>5</v>
      </c>
      <c r="H3" s="3">
        <v>5</v>
      </c>
      <c r="I3" s="1">
        <f t="shared" ref="I3:I7" si="7">AVERAGE(E3:H3)</f>
        <v>5</v>
      </c>
      <c r="J3" s="4">
        <v>13</v>
      </c>
      <c r="K3" s="1">
        <v>5</v>
      </c>
      <c r="L3" s="1">
        <v>7</v>
      </c>
      <c r="M3" s="2" t="str">
        <f t="shared" si="0"/>
        <v>cumplimiento del indicador</v>
      </c>
      <c r="N3" s="2" t="str">
        <f t="shared" si="1"/>
        <v>cumplimiento del indicador</v>
      </c>
      <c r="O3" s="2" t="str">
        <f t="shared" si="2"/>
        <v>cumplimiento del indicador</v>
      </c>
      <c r="P3" s="2" t="str">
        <f t="shared" si="3"/>
        <v>cumplimiento del indicador</v>
      </c>
      <c r="Q3" s="2" t="str">
        <f t="shared" si="4"/>
        <v>Cumplimiento en la evaluación de los indicadores.</v>
      </c>
      <c r="R3" s="2" t="str">
        <f t="shared" si="5"/>
        <v>no se requiere plan de mejora</v>
      </c>
      <c r="S3" s="2" t="str">
        <f t="shared" si="6"/>
        <v>se evidencia cumplimiento en la evaluacion de los indicadores</v>
      </c>
    </row>
    <row r="4" spans="1:20" ht="85.5">
      <c r="A4" s="1" t="s">
        <v>20</v>
      </c>
      <c r="B4" s="1" t="s">
        <v>19</v>
      </c>
      <c r="C4" s="4" t="s">
        <v>29</v>
      </c>
      <c r="D4" s="5" t="s">
        <v>23</v>
      </c>
      <c r="E4" s="3">
        <v>5</v>
      </c>
      <c r="F4" s="3">
        <v>5</v>
      </c>
      <c r="G4" s="3">
        <v>5</v>
      </c>
      <c r="H4" s="3">
        <v>5</v>
      </c>
      <c r="I4" s="1">
        <f t="shared" si="7"/>
        <v>5</v>
      </c>
      <c r="J4" s="4">
        <v>29</v>
      </c>
      <c r="K4" s="1">
        <v>13</v>
      </c>
      <c r="L4" s="1">
        <v>14</v>
      </c>
      <c r="M4" s="2" t="str">
        <f t="shared" si="0"/>
        <v>cumplimiento del indicador</v>
      </c>
      <c r="N4" s="2" t="str">
        <f t="shared" si="1"/>
        <v>cumplimiento del indicador</v>
      </c>
      <c r="O4" s="2" t="str">
        <f t="shared" si="2"/>
        <v>cumplimiento del indicador</v>
      </c>
      <c r="P4" s="2" t="str">
        <f t="shared" si="3"/>
        <v>cumplimiento del indicador</v>
      </c>
      <c r="Q4" s="2" t="str">
        <f t="shared" si="4"/>
        <v>Cumplimiento en la evaluación de los indicadores.</v>
      </c>
      <c r="R4" s="2" t="str">
        <f t="shared" si="5"/>
        <v>no se requiere plan de mejora</v>
      </c>
      <c r="S4" s="2" t="str">
        <f t="shared" si="6"/>
        <v>se evidencia cumplimiento en la evaluacion de los indicadores</v>
      </c>
    </row>
    <row r="5" spans="1:20" ht="85.5">
      <c r="A5" s="1" t="s">
        <v>20</v>
      </c>
      <c r="B5" s="1" t="s">
        <v>19</v>
      </c>
      <c r="C5" s="4" t="s">
        <v>30</v>
      </c>
      <c r="D5" s="5" t="s">
        <v>24</v>
      </c>
      <c r="E5" s="3">
        <v>5</v>
      </c>
      <c r="F5" s="3">
        <v>5</v>
      </c>
      <c r="G5" s="3">
        <v>5</v>
      </c>
      <c r="H5" s="3">
        <v>5</v>
      </c>
      <c r="I5" s="1">
        <f t="shared" si="7"/>
        <v>5</v>
      </c>
      <c r="J5" s="4">
        <v>22</v>
      </c>
      <c r="K5" s="1">
        <f t="shared" ref="K5:K7" si="8">J5/2</f>
        <v>11</v>
      </c>
      <c r="L5" s="1">
        <v>11</v>
      </c>
      <c r="M5" s="2" t="str">
        <f t="shared" si="0"/>
        <v>cumplimiento del indicador</v>
      </c>
      <c r="N5" s="2" t="str">
        <f t="shared" si="1"/>
        <v>cumplimiento del indicador</v>
      </c>
      <c r="O5" s="2" t="str">
        <f t="shared" si="2"/>
        <v>cumplimiento del indicador</v>
      </c>
      <c r="P5" s="2" t="str">
        <f t="shared" si="3"/>
        <v>cumplimiento del indicador</v>
      </c>
      <c r="Q5" s="2" t="str">
        <f t="shared" si="4"/>
        <v>Cumplimiento en la evaluación de los indicadores.</v>
      </c>
      <c r="R5" s="2" t="str">
        <f t="shared" si="5"/>
        <v>no se requiere plan de mejora</v>
      </c>
      <c r="S5" s="2" t="str">
        <f t="shared" si="6"/>
        <v>se evidencia cumplimiento en la evaluacion de los indicadores</v>
      </c>
    </row>
    <row r="6" spans="1:20" ht="85.5">
      <c r="A6" s="1" t="s">
        <v>20</v>
      </c>
      <c r="B6" s="1" t="s">
        <v>19</v>
      </c>
      <c r="C6" s="4" t="s">
        <v>31</v>
      </c>
      <c r="D6" s="4" t="s">
        <v>25</v>
      </c>
      <c r="E6" s="3">
        <v>5</v>
      </c>
      <c r="F6" s="3">
        <v>5</v>
      </c>
      <c r="G6" s="3">
        <v>5</v>
      </c>
      <c r="H6" s="3">
        <v>5</v>
      </c>
      <c r="I6" s="1">
        <f t="shared" si="7"/>
        <v>5</v>
      </c>
      <c r="J6" s="4">
        <v>20</v>
      </c>
      <c r="K6" s="1">
        <f t="shared" si="8"/>
        <v>10</v>
      </c>
      <c r="L6" s="1">
        <v>10</v>
      </c>
      <c r="M6" s="2" t="str">
        <f t="shared" si="0"/>
        <v>cumplimiento del indicador</v>
      </c>
      <c r="N6" s="2" t="str">
        <f t="shared" si="1"/>
        <v>cumplimiento del indicador</v>
      </c>
      <c r="O6" s="2" t="str">
        <f t="shared" si="2"/>
        <v>cumplimiento del indicador</v>
      </c>
      <c r="P6" s="2" t="str">
        <f t="shared" si="3"/>
        <v>cumplimiento del indicador</v>
      </c>
      <c r="Q6" s="2" t="str">
        <f t="shared" si="4"/>
        <v>Cumplimiento en la evaluación de los indicadores.</v>
      </c>
      <c r="R6" s="2" t="str">
        <f t="shared" si="5"/>
        <v>no se requiere plan de mejora</v>
      </c>
      <c r="S6" s="2" t="str">
        <f t="shared" si="6"/>
        <v>se evidencia cumplimiento en la evaluacion de los indicadores</v>
      </c>
    </row>
    <row r="7" spans="1:20" ht="85.5">
      <c r="A7" s="1" t="s">
        <v>20</v>
      </c>
      <c r="B7" s="1" t="s">
        <v>19</v>
      </c>
      <c r="C7" s="4" t="s">
        <v>32</v>
      </c>
      <c r="D7" s="5" t="s">
        <v>26</v>
      </c>
      <c r="E7" s="3">
        <v>5</v>
      </c>
      <c r="F7" s="3">
        <v>5</v>
      </c>
      <c r="G7" s="3">
        <v>5</v>
      </c>
      <c r="H7" s="3">
        <v>5</v>
      </c>
      <c r="I7" s="1">
        <f t="shared" si="7"/>
        <v>5</v>
      </c>
      <c r="J7" s="4">
        <v>28</v>
      </c>
      <c r="K7" s="1">
        <f t="shared" si="8"/>
        <v>14</v>
      </c>
      <c r="L7" s="1">
        <v>14</v>
      </c>
      <c r="M7" s="2" t="str">
        <f t="shared" si="0"/>
        <v>cumplimiento del indicador</v>
      </c>
      <c r="N7" s="2" t="str">
        <f t="shared" si="1"/>
        <v>cumplimiento del indicador</v>
      </c>
      <c r="O7" s="2" t="str">
        <f t="shared" si="2"/>
        <v>cumplimiento del indicador</v>
      </c>
      <c r="P7" s="2" t="str">
        <f t="shared" si="3"/>
        <v>cumplimiento del indicador</v>
      </c>
      <c r="Q7" s="2" t="str">
        <f t="shared" si="4"/>
        <v>Cumplimiento en la evaluación de los indicadores.</v>
      </c>
      <c r="R7" s="2" t="str">
        <f t="shared" si="5"/>
        <v>no se requiere plan de mejora</v>
      </c>
      <c r="S7" s="2" t="str">
        <f t="shared" si="6"/>
        <v>se evidencia cumplimiento en la evaluacion de los indicadores</v>
      </c>
    </row>
  </sheetData>
  <autoFilter ref="A1:T1" xr:uid="{C0157F28-2581-40E8-9FC3-C11753EC3402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Felipe Gonzalez Beltrán</dc:creator>
  <cp:keywords/>
  <dc:description/>
  <cp:lastModifiedBy>Daniel Felipe Gonzalez Beltrán</cp:lastModifiedBy>
  <cp:revision/>
  <dcterms:created xsi:type="dcterms:W3CDTF">2025-12-19T12:38:25Z</dcterms:created>
  <dcterms:modified xsi:type="dcterms:W3CDTF">2026-04-23T15:16:48Z</dcterms:modified>
  <cp:category/>
  <cp:contentStatus/>
</cp:coreProperties>
</file>