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uariios\prueba\Automatizaciones\SCRIPT_PDFS\SCRIPS_DOCUMENTADOS\PDF CALIDAD\IPS CON MEDICION 4 INDICADORES\"/>
    </mc:Choice>
  </mc:AlternateContent>
  <xr:revisionPtr revIDLastSave="0" documentId="13_ncr:1_{E10B8B38-A981-453A-BAB1-13D26064BBD5}" xr6:coauthVersionLast="47" xr6:coauthVersionMax="47" xr10:uidLastSave="{00000000-0000-0000-0000-000000000000}"/>
  <bookViews>
    <workbookView xWindow="14295" yWindow="0" windowWidth="14610" windowHeight="15585" xr2:uid="{7F76B178-B5D4-4098-B7B9-F39AFCAC640C}"/>
  </bookViews>
  <sheets>
    <sheet name="Hoja1" sheetId="1" r:id="rId1"/>
  </sheets>
  <definedNames>
    <definedName name="_xlnm._FilterDatabase" localSheetId="0" hidden="1">Hoja1!$A$1:$T$1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M3" i="1"/>
  <c r="N3" i="1"/>
  <c r="O3" i="1"/>
  <c r="P3" i="1"/>
  <c r="Q3" i="1"/>
  <c r="R3" i="1"/>
  <c r="S3" i="1"/>
  <c r="M4" i="1"/>
  <c r="N4" i="1"/>
  <c r="O4" i="1"/>
  <c r="P4" i="1"/>
  <c r="Q4" i="1"/>
  <c r="R4" i="1"/>
  <c r="S4" i="1"/>
  <c r="M5" i="1"/>
  <c r="N5" i="1"/>
  <c r="O5" i="1"/>
  <c r="P5" i="1"/>
  <c r="Q5" i="1"/>
  <c r="R5" i="1"/>
  <c r="S5" i="1"/>
  <c r="M6" i="1"/>
  <c r="N6" i="1"/>
  <c r="O6" i="1"/>
  <c r="P6" i="1"/>
  <c r="Q6" i="1"/>
  <c r="R6" i="1"/>
  <c r="S6" i="1"/>
  <c r="M7" i="1"/>
  <c r="N7" i="1"/>
  <c r="O7" i="1"/>
  <c r="P7" i="1"/>
  <c r="Q7" i="1"/>
  <c r="R7" i="1"/>
  <c r="S7" i="1"/>
  <c r="M8" i="1"/>
  <c r="N8" i="1"/>
  <c r="O8" i="1"/>
  <c r="P8" i="1"/>
  <c r="Q8" i="1"/>
  <c r="R8" i="1"/>
  <c r="S8" i="1"/>
  <c r="M9" i="1"/>
  <c r="N9" i="1"/>
  <c r="O9" i="1"/>
  <c r="P9" i="1"/>
  <c r="Q9" i="1"/>
  <c r="R9" i="1"/>
  <c r="S9" i="1"/>
  <c r="M10" i="1"/>
  <c r="N10" i="1"/>
  <c r="O10" i="1"/>
  <c r="P10" i="1"/>
  <c r="Q10" i="1"/>
  <c r="R10" i="1"/>
  <c r="S10" i="1"/>
  <c r="M11" i="1"/>
  <c r="N11" i="1"/>
  <c r="O11" i="1"/>
  <c r="P11" i="1"/>
  <c r="Q11" i="1"/>
  <c r="R11" i="1"/>
  <c r="S11" i="1"/>
  <c r="M12" i="1"/>
  <c r="N12" i="1"/>
  <c r="O12" i="1"/>
  <c r="P12" i="1"/>
  <c r="Q12" i="1"/>
  <c r="R12" i="1"/>
  <c r="S12" i="1"/>
  <c r="M13" i="1"/>
  <c r="N13" i="1"/>
  <c r="O13" i="1"/>
  <c r="P13" i="1"/>
  <c r="Q13" i="1"/>
  <c r="R13" i="1"/>
  <c r="S13" i="1"/>
  <c r="M14" i="1"/>
  <c r="N14" i="1"/>
  <c r="O14" i="1"/>
  <c r="P14" i="1"/>
  <c r="Q14" i="1"/>
  <c r="R14" i="1"/>
  <c r="S14" i="1"/>
</calcChain>
</file>

<file path=xl/sharedStrings.xml><?xml version="1.0" encoding="utf-8"?>
<sst xmlns="http://schemas.openxmlformats.org/spreadsheetml/2006/main" count="71" uniqueCount="47">
  <si>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</si>
  <si>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</si>
  <si>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</si>
  <si>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</si>
  <si>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</si>
  <si>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</si>
  <si>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</si>
  <si>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</si>
  <si>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</si>
  <si>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</si>
  <si>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</si>
  <si>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</si>
  <si>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</si>
  <si>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</si>
  <si>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</si>
  <si>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campop</t>
  </si>
  <si>
    <t>campoq</t>
  </si>
  <si>
    <t>campor</t>
  </si>
  <si>
    <t>campos</t>
  </si>
  <si>
    <t>CORPORACIÓN CLÍNICA PRIMAVERA</t>
  </si>
  <si>
    <t>0936-2024</t>
  </si>
  <si>
    <t>HOSPITAL REGIONAL DE SOGAMOSO ESE</t>
  </si>
  <si>
    <t>0903-2021</t>
  </si>
  <si>
    <t>SOCIEDAD CLINICA BOYACA SAS</t>
  </si>
  <si>
    <t>0783-2025</t>
  </si>
  <si>
    <t>CLINICA DE ESPECIALISTAS SA</t>
  </si>
  <si>
    <t>0697-2024</t>
  </si>
  <si>
    <t>CENTRO DE IMÁGENES DIAGNÓSTICAS CEDIM IPS S.A.S.</t>
  </si>
  <si>
    <t>0334-2025</t>
  </si>
  <si>
    <t>E.S.E. HOSPITAL SANTA MARTA DE SAMACÁ</t>
  </si>
  <si>
    <t>0283-2021</t>
  </si>
  <si>
    <t>HOSPITAL UNIVERSITARIO SAN IGNACIO</t>
  </si>
  <si>
    <t>0278-2020</t>
  </si>
  <si>
    <t>HOSPITAL REGIONAL DE LA ORINOQUIA E.S.E.</t>
  </si>
  <si>
    <t>0256-2019</t>
  </si>
  <si>
    <t>SERVICIOS ESPECIALES DE SALUD-SES HOSPITAL UNIVERSITARIO DE CALDAS</t>
  </si>
  <si>
    <t>0196-2025</t>
  </si>
  <si>
    <t>EMPRESA SOCIAL DEL ESTADO HOSPITAL SAGRADO CORAZÓN DE JESÚS DE SOCHA</t>
  </si>
  <si>
    <t>0656-2024</t>
  </si>
  <si>
    <t>13.04.2026</t>
  </si>
  <si>
    <t>I TRIMESTRE</t>
  </si>
  <si>
    <t>0318-2021</t>
  </si>
  <si>
    <t>0674-2021</t>
  </si>
  <si>
    <t>0116-2024</t>
  </si>
  <si>
    <t>CORPORACION HOSPITALARIA JUAN CIUDAD-MEDERI</t>
  </si>
  <si>
    <t>CLINICA DE MARLY S.A.</t>
  </si>
  <si>
    <t>CLINICA ASOTRAUMA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</si>
</sst>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T14"/>
  <sheetViews>
    <sheetView tabSelected="1" topLeftCell="J1" workbookViewId="0">
      <selection activeCell="S1" sqref="S1"/>
    </sheetView>
  </sheetViews>
  <sheetFormatPr baseColWidth="10" defaultColWidth="11.42578125" defaultRowHeight="15" x14ac:dyDescent="0.25"/>
  <cols>
    <col min="1" max="1" width="19.5703125" style="1" bestFit="1" customWidth="1"/>
    <col min="2" max="2" width="26.42578125" style="1" bestFit="1" customWidth="1"/>
    <col min="3" max="3" width="12.42578125" style="1" bestFit="1" customWidth="1"/>
    <col min="4" max="12" width="11.42578125" style="1"/>
    <col min="13" max="13" width="13.42578125" style="1" bestFit="1" customWidth="1"/>
    <col min="14" max="16" width="12.85546875" style="1" bestFit="1" customWidth="1"/>
    <col min="17" max="19" width="11.42578125" style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</row>
    <row r="2" spans="1:20" ht="120" x14ac:dyDescent="0.25">
      <c r="A2" s="1" t="s">
        <v>39</v>
      </c>
      <c r="B2" s="1" t="s">
        <v>40</v>
      </c>
      <c r="C2" s="1" t="s">
        <v>21</v>
      </c>
      <c r="D2" s="1" t="s">
        <v>22</v>
      </c>
      <c r="E2" s="1">
        <v>4.2</v>
      </c>
      <c r="F2" s="1">
        <v>4.2</v>
      </c>
      <c r="G2" s="1">
        <v>4.2</v>
      </c>
      <c r="H2" s="1">
        <v>4.5999999999999996</v>
      </c>
      <c r="I2" s="1">
        <v>4</v>
      </c>
      <c r="J2" s="1">
        <v>280</v>
      </c>
      <c r="K2" s="1">
        <v>140</v>
      </c>
      <c r="L2" s="1">
        <v>140</v>
      </c>
      <c r="M2" s="2" t="str">
        <f t="shared" ref="M2:M14" si="0">IF(E2&gt;=4,"cumplimiento del indicador","no cumplimiento con el indicador")</f>
        <v>cumplimiento del indicador</v>
      </c>
      <c r="N2" s="2" t="str">
        <f t="shared" ref="N2:N14" si="1">IF(F2&gt;=4,"cumplimiento del indicador","no cumplimiento con el indicador")</f>
        <v>cumplimiento del indicador</v>
      </c>
      <c r="O2" s="2" t="str">
        <f t="shared" ref="O2:O14" si="2">IF(G2&gt;=4,"cumplimiento del indicador","no cumplimiento con el indicador")</f>
        <v>cumplimiento del indicador</v>
      </c>
      <c r="P2" s="2" t="str">
        <f t="shared" ref="P2:P14" si="3">IF(H2&gt;=4,"cumplimiento del indicador","no cumplimiento con el indicador")</f>
        <v>cumplimiento del indicador</v>
      </c>
      <c r="Q2" s="2" t="str">
        <f t="shared" ref="Q2:Q14" si="4">IF(I2&gt;=4,"Cumplimiento en la evaluación de los indicadores.","No cumplimiento en la evaluación de los indicadores.")</f>
        <v>Cumplimiento en la evaluación de los indicadores.</v>
      </c>
      <c r="R2" s="2" t="str">
        <f t="shared" ref="R2:R14" si="5">IF(I2&gt;=4,"No se requiere plan de mejora.","Se requiere plan de mejora.")</f>
        <v>No se requiere plan de mejora.</v>
      </c>
      <c r="S2" s="2" t="str">
        <f t="shared" ref="S2:S14" si="6">IF(I2&gt;=4,"Se evidencia cumplimiento en la evaluacion de los indicadores.","Se evidencia incumplimiento en la evaluacion de los indicadores.")</f>
        <v>Se evidencia cumplimiento en la evaluacion de los indicadores.</v>
      </c>
    </row>
    <row r="3" spans="1:20" ht="120" x14ac:dyDescent="0.25">
      <c r="A3" s="1" t="s">
        <v>39</v>
      </c>
      <c r="B3" s="1" t="s">
        <v>40</v>
      </c>
      <c r="C3" s="1" t="s">
        <v>27</v>
      </c>
      <c r="D3" s="1" t="s">
        <v>28</v>
      </c>
      <c r="E3" s="1">
        <v>4.4000000000000004</v>
      </c>
      <c r="F3" s="1">
        <v>4.4000000000000004</v>
      </c>
      <c r="G3" s="1">
        <v>4.4000000000000004</v>
      </c>
      <c r="H3" s="1">
        <v>4.4000000000000004</v>
      </c>
      <c r="I3" s="1">
        <v>4</v>
      </c>
      <c r="J3" s="1">
        <v>231</v>
      </c>
      <c r="K3" s="1">
        <v>115</v>
      </c>
      <c r="L3" s="1">
        <v>115</v>
      </c>
      <c r="M3" s="2" t="str">
        <f t="shared" si="0"/>
        <v>cumplimiento del indicador</v>
      </c>
      <c r="N3" s="2" t="str">
        <f t="shared" si="1"/>
        <v>cumplimiento del indicador</v>
      </c>
      <c r="O3" s="2" t="str">
        <f t="shared" si="2"/>
        <v>cumplimiento del indicador</v>
      </c>
      <c r="P3" s="2" t="str">
        <f t="shared" si="3"/>
        <v>cumplimiento del indicador</v>
      </c>
      <c r="Q3" s="2" t="str">
        <f t="shared" si="4"/>
        <v>Cumplimiento en la evaluación de los indicadores.</v>
      </c>
      <c r="R3" s="2" t="str">
        <f t="shared" si="5"/>
        <v>No se requiere plan de mejora.</v>
      </c>
      <c r="S3" s="2" t="str">
        <f t="shared" si="6"/>
        <v>Se evidencia cumplimiento en la evaluacion de los indicadores.</v>
      </c>
    </row>
    <row r="4" spans="1:20" ht="120" x14ac:dyDescent="0.25">
      <c r="A4" s="1" t="s">
        <v>39</v>
      </c>
      <c r="B4" s="1" t="s">
        <v>40</v>
      </c>
      <c r="C4" s="1" t="s">
        <v>25</v>
      </c>
      <c r="D4" s="1" t="s">
        <v>26</v>
      </c>
      <c r="E4" s="1">
        <v>4.4000000000000004</v>
      </c>
      <c r="F4" s="1">
        <v>4.4000000000000004</v>
      </c>
      <c r="G4" s="1">
        <v>4.4000000000000004</v>
      </c>
      <c r="H4" s="1">
        <v>4.8</v>
      </c>
      <c r="I4" s="1">
        <v>4</v>
      </c>
      <c r="J4" s="1">
        <v>509</v>
      </c>
      <c r="K4" s="1">
        <v>254</v>
      </c>
      <c r="L4" s="1">
        <v>254</v>
      </c>
      <c r="M4" s="2" t="str">
        <f t="shared" si="0"/>
        <v>cumplimiento del indicador</v>
      </c>
      <c r="N4" s="2" t="str">
        <f t="shared" si="1"/>
        <v>cumplimiento del indicador</v>
      </c>
      <c r="O4" s="2" t="str">
        <f t="shared" si="2"/>
        <v>cumplimiento del indicador</v>
      </c>
      <c r="P4" s="2" t="str">
        <f t="shared" si="3"/>
        <v>cumplimiento del indicador</v>
      </c>
      <c r="Q4" s="2" t="str">
        <f t="shared" si="4"/>
        <v>Cumplimiento en la evaluación de los indicadores.</v>
      </c>
      <c r="R4" s="2" t="str">
        <f t="shared" si="5"/>
        <v>No se requiere plan de mejora.</v>
      </c>
      <c r="S4" s="2" t="str">
        <f t="shared" si="6"/>
        <v>Se evidencia cumplimiento en la evaluacion de los indicadores.</v>
      </c>
    </row>
    <row r="5" spans="1:20" ht="120" x14ac:dyDescent="0.25">
      <c r="A5" s="1" t="s">
        <v>39</v>
      </c>
      <c r="B5" s="1" t="s">
        <v>40</v>
      </c>
      <c r="C5" s="1" t="s">
        <v>44</v>
      </c>
      <c r="D5" s="1" t="s">
        <v>41</v>
      </c>
      <c r="E5" s="1">
        <v>4.5999999999999996</v>
      </c>
      <c r="F5" s="1">
        <v>4.5999999999999996</v>
      </c>
      <c r="G5" s="1">
        <v>4.5999999999999996</v>
      </c>
      <c r="H5" s="1">
        <v>4.8</v>
      </c>
      <c r="I5" s="1">
        <v>4</v>
      </c>
      <c r="J5" s="1">
        <v>240</v>
      </c>
      <c r="K5" s="1">
        <v>120</v>
      </c>
      <c r="L5" s="1">
        <v>120</v>
      </c>
      <c r="M5" s="2" t="str">
        <f t="shared" si="0"/>
        <v>cumplimiento del indicador</v>
      </c>
      <c r="N5" s="2" t="str">
        <f t="shared" si="1"/>
        <v>cumplimiento del indicador</v>
      </c>
      <c r="O5" s="2" t="str">
        <f t="shared" si="2"/>
        <v>cumplimiento del indicador</v>
      </c>
      <c r="P5" s="2" t="str">
        <f t="shared" si="3"/>
        <v>cumplimiento del indicador</v>
      </c>
      <c r="Q5" s="2" t="str">
        <f t="shared" si="4"/>
        <v>Cumplimiento en la evaluación de los indicadores.</v>
      </c>
      <c r="R5" s="2" t="str">
        <f t="shared" si="5"/>
        <v>No se requiere plan de mejora.</v>
      </c>
      <c r="S5" s="2" t="str">
        <f t="shared" si="6"/>
        <v>Se evidencia cumplimiento en la evaluacion de los indicadores.</v>
      </c>
    </row>
    <row r="6" spans="1:20" ht="120" x14ac:dyDescent="0.25">
      <c r="A6" s="1" t="s">
        <v>39</v>
      </c>
      <c r="B6" s="1" t="s">
        <v>40</v>
      </c>
      <c r="C6" s="1" t="s">
        <v>45</v>
      </c>
      <c r="D6" s="1" t="s">
        <v>42</v>
      </c>
      <c r="E6" s="1">
        <v>4.5999999999999996</v>
      </c>
      <c r="F6" s="1">
        <v>4.5999999999999996</v>
      </c>
      <c r="G6" s="1">
        <v>4.5999999999999996</v>
      </c>
      <c r="H6" s="1">
        <v>4.8</v>
      </c>
      <c r="I6" s="1">
        <v>4</v>
      </c>
      <c r="J6" s="1">
        <v>685</v>
      </c>
      <c r="K6" s="1">
        <v>342</v>
      </c>
      <c r="L6" s="1">
        <v>342</v>
      </c>
      <c r="M6" s="2" t="str">
        <f t="shared" si="0"/>
        <v>cumplimiento del indicador</v>
      </c>
      <c r="N6" s="2" t="str">
        <f t="shared" si="1"/>
        <v>cumplimiento del indicador</v>
      </c>
      <c r="O6" s="2" t="str">
        <f t="shared" si="2"/>
        <v>cumplimiento del indicador</v>
      </c>
      <c r="P6" s="2" t="str">
        <f t="shared" si="3"/>
        <v>cumplimiento del indicador</v>
      </c>
      <c r="Q6" s="2" t="str">
        <f t="shared" si="4"/>
        <v>Cumplimiento en la evaluación de los indicadores.</v>
      </c>
      <c r="R6" s="2" t="str">
        <f t="shared" si="5"/>
        <v>No se requiere plan de mejora.</v>
      </c>
      <c r="S6" s="2" t="str">
        <f t="shared" si="6"/>
        <v>Se evidencia cumplimiento en la evaluacion de los indicadores.</v>
      </c>
    </row>
    <row r="7" spans="1:20" ht="120" x14ac:dyDescent="0.25">
      <c r="A7" s="1" t="s">
        <v>39</v>
      </c>
      <c r="B7" s="1" t="s">
        <v>40</v>
      </c>
      <c r="C7" s="1" t="s">
        <v>46</v>
      </c>
      <c r="D7" s="1" t="s">
        <v>43</v>
      </c>
      <c r="E7" s="1">
        <v>4.5999999999999996</v>
      </c>
      <c r="F7" s="1">
        <v>4.5999999999999996</v>
      </c>
      <c r="G7" s="1">
        <v>4.5999999999999996</v>
      </c>
      <c r="H7" s="1">
        <v>4.5999999999999996</v>
      </c>
      <c r="I7" s="1">
        <v>4</v>
      </c>
      <c r="J7" s="1">
        <v>701</v>
      </c>
      <c r="K7" s="1">
        <v>350</v>
      </c>
      <c r="L7" s="1">
        <v>350</v>
      </c>
      <c r="M7" s="2" t="str">
        <f t="shared" si="0"/>
        <v>cumplimiento del indicador</v>
      </c>
      <c r="N7" s="2" t="str">
        <f t="shared" si="1"/>
        <v>cumplimiento del indicador</v>
      </c>
      <c r="O7" s="2" t="str">
        <f t="shared" si="2"/>
        <v>cumplimiento del indicador</v>
      </c>
      <c r="P7" s="2" t="str">
        <f t="shared" si="3"/>
        <v>cumplimiento del indicador</v>
      </c>
      <c r="Q7" s="2" t="str">
        <f t="shared" si="4"/>
        <v>Cumplimiento en la evaluación de los indicadores.</v>
      </c>
      <c r="R7" s="2" t="str">
        <f t="shared" si="5"/>
        <v>No se requiere plan de mejora.</v>
      </c>
      <c r="S7" s="2" t="str">
        <f t="shared" si="6"/>
        <v>Se evidencia cumplimiento en la evaluacion de los indicadores.</v>
      </c>
    </row>
    <row r="8" spans="1:20" ht="120" x14ac:dyDescent="0.25">
      <c r="A8" s="1" t="s">
        <v>39</v>
      </c>
      <c r="B8" s="1" t="s">
        <v>40</v>
      </c>
      <c r="C8" s="1" t="s">
        <v>33</v>
      </c>
      <c r="D8" s="1" t="s">
        <v>34</v>
      </c>
      <c r="E8" s="1">
        <v>4.8</v>
      </c>
      <c r="F8" s="1">
        <v>4.8</v>
      </c>
      <c r="G8" s="1">
        <v>4.8</v>
      </c>
      <c r="H8" s="1">
        <v>4.8</v>
      </c>
      <c r="I8" s="1">
        <v>4</v>
      </c>
      <c r="J8" s="1">
        <v>259</v>
      </c>
      <c r="K8" s="1">
        <v>129</v>
      </c>
      <c r="L8" s="1">
        <v>129</v>
      </c>
      <c r="M8" s="2" t="str">
        <f t="shared" si="0"/>
        <v>cumplimiento del indicador</v>
      </c>
      <c r="N8" s="2" t="str">
        <f t="shared" si="1"/>
        <v>cumplimiento del indicador</v>
      </c>
      <c r="O8" s="2" t="str">
        <f t="shared" si="2"/>
        <v>cumplimiento del indicador</v>
      </c>
      <c r="P8" s="2" t="str">
        <f t="shared" si="3"/>
        <v>cumplimiento del indicador</v>
      </c>
      <c r="Q8" s="2" t="str">
        <f t="shared" si="4"/>
        <v>Cumplimiento en la evaluación de los indicadores.</v>
      </c>
      <c r="R8" s="2" t="str">
        <f t="shared" si="5"/>
        <v>No se requiere plan de mejora.</v>
      </c>
      <c r="S8" s="2" t="str">
        <f t="shared" si="6"/>
        <v>Se evidencia cumplimiento en la evaluacion de los indicadores.</v>
      </c>
    </row>
    <row r="9" spans="1:20" ht="120" x14ac:dyDescent="0.25">
      <c r="A9" s="1" t="s">
        <v>39</v>
      </c>
      <c r="B9" s="1" t="s">
        <v>40</v>
      </c>
      <c r="C9" s="1" t="s">
        <v>37</v>
      </c>
      <c r="D9" s="1" t="s">
        <v>38</v>
      </c>
      <c r="E9" s="1">
        <v>4.8</v>
      </c>
      <c r="F9" s="1">
        <v>4.8</v>
      </c>
      <c r="G9" s="1">
        <v>4.8</v>
      </c>
      <c r="H9" s="1">
        <v>5</v>
      </c>
      <c r="I9" s="1">
        <v>4</v>
      </c>
      <c r="J9" s="1">
        <v>269</v>
      </c>
      <c r="K9" s="1">
        <v>134</v>
      </c>
      <c r="L9" s="1">
        <v>134</v>
      </c>
      <c r="M9" s="2" t="str">
        <f t="shared" si="0"/>
        <v>cumplimiento del indicador</v>
      </c>
      <c r="N9" s="2" t="str">
        <f t="shared" si="1"/>
        <v>cumplimiento del indicador</v>
      </c>
      <c r="O9" s="2" t="str">
        <f t="shared" si="2"/>
        <v>cumplimiento del indicador</v>
      </c>
      <c r="P9" s="2" t="str">
        <f t="shared" si="3"/>
        <v>cumplimiento del indicador</v>
      </c>
      <c r="Q9" s="2" t="str">
        <f t="shared" si="4"/>
        <v>Cumplimiento en la evaluación de los indicadores.</v>
      </c>
      <c r="R9" s="2" t="str">
        <f t="shared" si="5"/>
        <v>No se requiere plan de mejora.</v>
      </c>
      <c r="S9" s="2" t="str">
        <f t="shared" si="6"/>
        <v>Se evidencia cumplimiento en la evaluacion de los indicadores.</v>
      </c>
    </row>
    <row r="10" spans="1:20" ht="120" x14ac:dyDescent="0.25">
      <c r="A10" s="1" t="s">
        <v>39</v>
      </c>
      <c r="B10" s="1" t="s">
        <v>40</v>
      </c>
      <c r="C10" s="1" t="s">
        <v>31</v>
      </c>
      <c r="D10" s="1" t="s">
        <v>32</v>
      </c>
      <c r="E10" s="1">
        <v>4.8</v>
      </c>
      <c r="F10" s="1">
        <v>4.8</v>
      </c>
      <c r="G10" s="1">
        <v>4.8</v>
      </c>
      <c r="H10" s="1">
        <v>5</v>
      </c>
      <c r="I10" s="1">
        <v>4</v>
      </c>
      <c r="J10" s="1">
        <v>2897</v>
      </c>
      <c r="K10" s="1">
        <v>1448</v>
      </c>
      <c r="L10" s="1">
        <v>1448</v>
      </c>
      <c r="M10" s="2" t="str">
        <f t="shared" si="0"/>
        <v>cumplimiento del indicador</v>
      </c>
      <c r="N10" s="2" t="str">
        <f t="shared" si="1"/>
        <v>cumplimiento del indicador</v>
      </c>
      <c r="O10" s="2" t="str">
        <f t="shared" si="2"/>
        <v>cumplimiento del indicador</v>
      </c>
      <c r="P10" s="2" t="str">
        <f t="shared" si="3"/>
        <v>cumplimiento del indicador</v>
      </c>
      <c r="Q10" s="2" t="str">
        <f t="shared" si="4"/>
        <v>Cumplimiento en la evaluación de los indicadores.</v>
      </c>
      <c r="R10" s="2" t="str">
        <f t="shared" si="5"/>
        <v>No se requiere plan de mejora.</v>
      </c>
      <c r="S10" s="2" t="str">
        <f t="shared" si="6"/>
        <v>Se evidencia cumplimiento en la evaluacion de los indicadores.</v>
      </c>
    </row>
    <row r="11" spans="1:20" ht="120" x14ac:dyDescent="0.25">
      <c r="A11" s="1" t="s">
        <v>39</v>
      </c>
      <c r="B11" s="1" t="s">
        <v>40</v>
      </c>
      <c r="C11" s="1" t="s">
        <v>35</v>
      </c>
      <c r="D11" s="1" t="s">
        <v>36</v>
      </c>
      <c r="E11" s="1">
        <v>5</v>
      </c>
      <c r="F11" s="1">
        <v>5</v>
      </c>
      <c r="G11" s="1">
        <v>5</v>
      </c>
      <c r="H11" s="1">
        <v>5</v>
      </c>
      <c r="I11" s="1">
        <v>5</v>
      </c>
      <c r="J11" s="1">
        <v>203</v>
      </c>
      <c r="K11" s="1">
        <v>101</v>
      </c>
      <c r="L11" s="1">
        <v>101</v>
      </c>
      <c r="M11" s="2" t="str">
        <f t="shared" si="0"/>
        <v>cumplimiento del indicador</v>
      </c>
      <c r="N11" s="2" t="str">
        <f t="shared" si="1"/>
        <v>cumplimiento del indicador</v>
      </c>
      <c r="O11" s="2" t="str">
        <f t="shared" si="2"/>
        <v>cumplimiento del indicador</v>
      </c>
      <c r="P11" s="2" t="str">
        <f t="shared" si="3"/>
        <v>cumplimiento del indicador</v>
      </c>
      <c r="Q11" s="2" t="str">
        <f t="shared" si="4"/>
        <v>Cumplimiento en la evaluación de los indicadores.</v>
      </c>
      <c r="R11" s="2" t="str">
        <f t="shared" si="5"/>
        <v>No se requiere plan de mejora.</v>
      </c>
      <c r="S11" s="2" t="str">
        <f t="shared" si="6"/>
        <v>Se evidencia cumplimiento en la evaluacion de los indicadores.</v>
      </c>
    </row>
    <row r="12" spans="1:20" ht="120" x14ac:dyDescent="0.25">
      <c r="A12" s="1" t="s">
        <v>39</v>
      </c>
      <c r="B12" s="1" t="s">
        <v>40</v>
      </c>
      <c r="C12" s="1" t="s">
        <v>29</v>
      </c>
      <c r="D12" s="1" t="s">
        <v>30</v>
      </c>
      <c r="E12" s="1">
        <v>5</v>
      </c>
      <c r="F12" s="1">
        <v>5</v>
      </c>
      <c r="G12" s="1">
        <v>5</v>
      </c>
      <c r="H12" s="1">
        <v>5</v>
      </c>
      <c r="I12" s="1">
        <v>5</v>
      </c>
      <c r="J12" s="1">
        <v>224</v>
      </c>
      <c r="K12" s="1">
        <v>112</v>
      </c>
      <c r="L12" s="1">
        <v>112</v>
      </c>
      <c r="M12" s="2" t="str">
        <f t="shared" si="0"/>
        <v>cumplimiento del indicador</v>
      </c>
      <c r="N12" s="2" t="str">
        <f t="shared" si="1"/>
        <v>cumplimiento del indicador</v>
      </c>
      <c r="O12" s="2" t="str">
        <f t="shared" si="2"/>
        <v>cumplimiento del indicador</v>
      </c>
      <c r="P12" s="2" t="str">
        <f t="shared" si="3"/>
        <v>cumplimiento del indicador</v>
      </c>
      <c r="Q12" s="2" t="str">
        <f t="shared" si="4"/>
        <v>Cumplimiento en la evaluación de los indicadores.</v>
      </c>
      <c r="R12" s="2" t="str">
        <f t="shared" si="5"/>
        <v>No se requiere plan de mejora.</v>
      </c>
      <c r="S12" s="2" t="str">
        <f t="shared" si="6"/>
        <v>Se evidencia cumplimiento en la evaluacion de los indicadores.</v>
      </c>
    </row>
    <row r="13" spans="1:20" ht="120" x14ac:dyDescent="0.25">
      <c r="A13" s="1" t="s">
        <v>39</v>
      </c>
      <c r="B13" s="1" t="s">
        <v>40</v>
      </c>
      <c r="C13" s="1" t="s">
        <v>23</v>
      </c>
      <c r="D13" s="1" t="s">
        <v>24</v>
      </c>
      <c r="E13" s="1">
        <v>5</v>
      </c>
      <c r="F13" s="1">
        <v>5</v>
      </c>
      <c r="G13" s="1">
        <v>5</v>
      </c>
      <c r="H13" s="1">
        <v>5</v>
      </c>
      <c r="I13" s="1">
        <v>5</v>
      </c>
      <c r="J13" s="1">
        <v>299</v>
      </c>
      <c r="K13" s="1">
        <v>149</v>
      </c>
      <c r="L13" s="1">
        <v>149</v>
      </c>
      <c r="M13" s="2" t="str">
        <f t="shared" si="0"/>
        <v>cumplimiento del indicador</v>
      </c>
      <c r="N13" s="2" t="str">
        <f t="shared" si="1"/>
        <v>cumplimiento del indicador</v>
      </c>
      <c r="O13" s="2" t="str">
        <f t="shared" si="2"/>
        <v>cumplimiento del indicador</v>
      </c>
      <c r="P13" s="2" t="str">
        <f t="shared" si="3"/>
        <v>cumplimiento del indicador</v>
      </c>
      <c r="Q13" s="2" t="str">
        <f t="shared" si="4"/>
        <v>Cumplimiento en la evaluación de los indicadores.</v>
      </c>
      <c r="R13" s="2" t="str">
        <f t="shared" si="5"/>
        <v>No se requiere plan de mejora.</v>
      </c>
      <c r="S13" s="2" t="str">
        <f t="shared" si="6"/>
        <v>Se evidencia cumplimiento en la evaluacion de los indicadores.</v>
      </c>
    </row>
    <row r="14" spans="1:20" ht="120" x14ac:dyDescent="0.25">
      <c r="A14" s="1" t="s">
        <v>39</v>
      </c>
      <c r="B14" s="1" t="s">
        <v>40</v>
      </c>
      <c r="C14" s="1" t="s">
        <v>19</v>
      </c>
      <c r="D14" s="1" t="s">
        <v>20</v>
      </c>
      <c r="E14" s="1">
        <v>5</v>
      </c>
      <c r="F14" s="1">
        <v>5</v>
      </c>
      <c r="G14" s="1">
        <v>5</v>
      </c>
      <c r="H14" s="1">
        <v>5</v>
      </c>
      <c r="I14" s="1">
        <v>5</v>
      </c>
      <c r="J14" s="1">
        <v>388</v>
      </c>
      <c r="K14" s="1">
        <v>194</v>
      </c>
      <c r="L14" s="1">
        <v>194</v>
      </c>
      <c r="M14" s="2" t="str">
        <f t="shared" si="0"/>
        <v>cumplimiento del indicador</v>
      </c>
      <c r="N14" s="2" t="str">
        <f t="shared" si="1"/>
        <v>cumplimiento del indicador</v>
      </c>
      <c r="O14" s="2" t="str">
        <f t="shared" si="2"/>
        <v>cumplimiento del indicador</v>
      </c>
      <c r="P14" s="2" t="str">
        <f t="shared" si="3"/>
        <v>cumplimiento del indicador</v>
      </c>
      <c r="Q14" s="2" t="str">
        <f t="shared" si="4"/>
        <v>Cumplimiento en la evaluación de los indicadores.</v>
      </c>
      <c r="R14" s="2" t="str">
        <f t="shared" si="5"/>
        <v>No se requiere plan de mejora.</v>
      </c>
      <c r="S14" s="2" t="str">
        <f t="shared" si="6"/>
        <v>Se evidencia cumplimiento en la evaluacion de los indicadores.</v>
      </c>
    </row>
  </sheetData>
  <autoFilter ref="A1:T1" xr:uid="{C0157F28-2581-40E8-9FC3-C11753EC3402}">
    <sortState xmlns:xlrd2="http://schemas.microsoft.com/office/spreadsheetml/2017/richdata2" ref="A2:T183">
      <sortCondition ref="D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Felipe Gonzalez Beltrán</dc:creator>
  <cp:keywords/>
  <dc:description/>
  <cp:lastModifiedBy>ags americas 3</cp:lastModifiedBy>
  <cp:revision/>
  <dcterms:created xsi:type="dcterms:W3CDTF">2025-12-19T12:38:25Z</dcterms:created>
  <dcterms:modified xsi:type="dcterms:W3CDTF">2026-04-13T16:43:02Z</dcterms:modified>
  <cp:category/>
  <cp:contentStatus/>
</cp:coreProperties>
</file>