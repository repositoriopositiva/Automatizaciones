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uariios\prueba\Automatizaciones\SCRIPT_PDFS\SCRIPS_DOCUMENTADOS\PDF CALIDAD\IPS CON MEDICION 4 INDICADORES\"/>
    </mc:Choice>
  </mc:AlternateContent>
  <xr:revisionPtr revIDLastSave="0" documentId="13_ncr:1_{88AECBA4-0321-4A29-B8DB-33E2D139FFCA}" xr6:coauthVersionLast="47" xr6:coauthVersionMax="47" xr10:uidLastSave="{00000000-0000-0000-0000-000000000000}"/>
  <bookViews>
    <workbookView xWindow="-120" yWindow="-120" windowWidth="29040" windowHeight="15720" xr2:uid="{7F76B178-B5D4-4098-B7B9-F39AFCAC640C}"/>
  </bookViews>
  <sheets>
    <sheet name="Hoja1" sheetId="1" r:id="rId1"/>
  </sheets>
  <definedNames>
    <definedName name="_xlnm._FilterDatabase" localSheetId="0" hidden="1">Hoja1!$A$1:$T$1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O2" i="1"/>
  <c r="P2" i="1"/>
  <c r="Q2" i="1"/>
  <c r="R2" i="1"/>
  <c r="S2" i="1"/>
  <c r="M3" i="1"/>
  <c r="N3" i="1"/>
  <c r="O3" i="1"/>
  <c r="P3" i="1"/>
  <c r="Q3" i="1"/>
  <c r="R3" i="1"/>
  <c r="S3" i="1"/>
  <c r="K2" i="1"/>
</calcChain>
</file>

<file path=xl/sharedStrings.xml><?xml version="1.0" encoding="utf-8"?>
<sst xmlns="http://schemas.openxmlformats.org/spreadsheetml/2006/main" count="27" uniqueCount="25">
  <si>
    <t>campoa</t>
  </si>
  <si>
    <t>campob</t>
  </si>
  <si>
    <t>campoc</t>
  </si>
  <si>
    <t>campod</t>
  </si>
  <si>
    <t>campoe</t>
  </si>
  <si>
    <t>campof</t>
  </si>
  <si>
    <t>campog</t>
  </si>
  <si>
    <t>campoh</t>
  </si>
  <si>
    <t>campoi</t>
  </si>
  <si>
    <t>campoj</t>
  </si>
  <si>
    <t>campok</t>
  </si>
  <si>
    <t>campol</t>
  </si>
  <si>
    <t>campom</t>
  </si>
  <si>
    <t>campon</t>
  </si>
  <si>
    <t>campoo</t>
  </si>
  <si>
    <t>campop</t>
  </si>
  <si>
    <t>campoq</t>
  </si>
  <si>
    <t>campor</t>
  </si>
  <si>
    <t>campos</t>
  </si>
  <si>
    <t>I TRIMESTRE</t>
  </si>
  <si>
    <t>20.04.2026</t>
  </si>
  <si>
    <t>0259-2022</t>
  </si>
  <si>
    <t>0411-2021</t>
  </si>
  <si>
    <t>FUNDACION CLINICA LETICIA</t>
  </si>
  <si>
    <t>HOSPITAL FEDERICO LLERAS ACOSTA E.S.E.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</si>
</sst>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T3"/>
  <sheetViews>
    <sheetView tabSelected="1" workbookViewId="0">
      <selection activeCell="J3" sqref="J3"/>
    </sheetView>
  </sheetViews>
  <sheetFormatPr baseColWidth="10" defaultColWidth="11.42578125" defaultRowHeight="15" x14ac:dyDescent="0.25"/>
  <cols>
    <col min="1" max="1" width="19.5703125" style="1" bestFit="1" customWidth="1"/>
    <col min="2" max="2" width="26.42578125" style="1" bestFit="1" customWidth="1"/>
    <col min="3" max="3" width="12.42578125" style="1" bestFit="1" customWidth="1"/>
    <col min="4" max="12" width="11.42578125" style="1"/>
    <col min="13" max="13" width="13.42578125" style="1" bestFit="1" customWidth="1"/>
    <col min="14" max="16" width="12.85546875" style="1" bestFit="1" customWidth="1"/>
    <col min="17" max="19" width="11.425781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ht="120" x14ac:dyDescent="0.25">
      <c r="A2" s="1" t="s">
        <v>20</v>
      </c>
      <c r="B2" s="1" t="s">
        <v>19</v>
      </c>
      <c r="C2" s="1" t="s">
        <v>23</v>
      </c>
      <c r="D2" s="1" t="s">
        <v>21</v>
      </c>
      <c r="E2" s="1">
        <v>4.5</v>
      </c>
      <c r="F2" s="1">
        <v>4.5</v>
      </c>
      <c r="G2" s="1">
        <v>4.5</v>
      </c>
      <c r="H2" s="1">
        <v>5</v>
      </c>
      <c r="I2" s="1">
        <v>4</v>
      </c>
      <c r="J2" s="1">
        <v>68</v>
      </c>
      <c r="K2" s="1">
        <f>J2/2</f>
        <v>34</v>
      </c>
      <c r="L2" s="1">
        <v>34</v>
      </c>
      <c r="M2" s="2" t="str">
        <f t="shared" ref="M2:M3" si="0">IF(E2&gt;=4,"cumplimiento del indicador","no cumplimiento con el indicador")</f>
        <v>cumplimiento del indicador</v>
      </c>
      <c r="N2" s="2" t="str">
        <f t="shared" ref="N2:N3" si="1">IF(F2&gt;=4,"cumplimiento del indicador","no cumplimiento con el indicador")</f>
        <v>cumplimiento del indicador</v>
      </c>
      <c r="O2" s="2" t="str">
        <f t="shared" ref="O2:O3" si="2">IF(G2&gt;=4,"cumplimiento del indicador","no cumplimiento con el indicador")</f>
        <v>cumplimiento del indicador</v>
      </c>
      <c r="P2" s="2" t="str">
        <f t="shared" ref="P2:P3" si="3">IF(H2&gt;=4,"cumplimiento del indicador","no cumplimiento con el indicador")</f>
        <v>cumplimiento del indicador</v>
      </c>
      <c r="Q2" s="2" t="str">
        <f t="shared" ref="Q2:Q3" si="4">IF(I2&gt;=4,"Cumplimiento en la evaluación de los indicadores.","No cumplimiento en la evaluación de los indicadores.")</f>
        <v>Cumplimiento en la evaluación de los indicadores.</v>
      </c>
      <c r="R2" s="2" t="str">
        <f t="shared" ref="R2:R3" si="5">IF(I2&gt;=4,"no se requiere plan de mejora","Se requiere plan de mejora.")</f>
        <v>no se requiere plan de mejora</v>
      </c>
      <c r="S2" s="2" t="str">
        <f t="shared" ref="S2:S3" si="6">IF(I2&gt;=4,"se evidencia cumplimiento en la evaluacion de los indicadores","se evidencia incumplimiento en la evaluacion de los indicadores")</f>
        <v>se evidencia cumplimiento en la evaluacion de los indicadores</v>
      </c>
    </row>
    <row r="3" spans="1:20" ht="120" x14ac:dyDescent="0.25">
      <c r="A3" s="1" t="s">
        <v>20</v>
      </c>
      <c r="B3" s="1" t="s">
        <v>19</v>
      </c>
      <c r="C3" s="1" t="s">
        <v>24</v>
      </c>
      <c r="D3" s="1" t="s">
        <v>22</v>
      </c>
      <c r="E3" s="1">
        <v>4.5</v>
      </c>
      <c r="F3" s="1">
        <v>4.5</v>
      </c>
      <c r="G3" s="1">
        <v>5</v>
      </c>
      <c r="H3" s="1">
        <v>5</v>
      </c>
      <c r="I3" s="1">
        <v>4</v>
      </c>
      <c r="J3" s="1">
        <v>103</v>
      </c>
      <c r="K3" s="1">
        <v>53</v>
      </c>
      <c r="L3" s="1">
        <v>50</v>
      </c>
      <c r="M3" s="2" t="str">
        <f t="shared" si="0"/>
        <v>cumplimiento del indicador</v>
      </c>
      <c r="N3" s="2" t="str">
        <f t="shared" si="1"/>
        <v>cumplimiento del indicador</v>
      </c>
      <c r="O3" s="2" t="str">
        <f t="shared" si="2"/>
        <v>cumplimiento del indicador</v>
      </c>
      <c r="P3" s="2" t="str">
        <f t="shared" si="3"/>
        <v>cumplimiento del indicador</v>
      </c>
      <c r="Q3" s="2" t="str">
        <f t="shared" si="4"/>
        <v>Cumplimiento en la evaluación de los indicadores.</v>
      </c>
      <c r="R3" s="2" t="str">
        <f t="shared" si="5"/>
        <v>no se requiere plan de mejora</v>
      </c>
      <c r="S3" s="2" t="str">
        <f t="shared" si="6"/>
        <v>se evidencia cumplimiento en la evaluacion de los indicadores</v>
      </c>
    </row>
  </sheetData>
  <autoFilter ref="A1:T1" xr:uid="{C0157F28-2581-40E8-9FC3-C11753EC340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Felipe Gonzalez Beltrán</dc:creator>
  <cp:keywords/>
  <dc:description/>
  <cp:lastModifiedBy>Daniel Felipe Gonzalez Beltrán</cp:lastModifiedBy>
  <cp:revision/>
  <dcterms:created xsi:type="dcterms:W3CDTF">2025-12-19T12:38:25Z</dcterms:created>
  <dcterms:modified xsi:type="dcterms:W3CDTF">2026-04-21T13:52:41Z</dcterms:modified>
  <cp:category/>
  <cp:contentStatus/>
</cp:coreProperties>
</file>