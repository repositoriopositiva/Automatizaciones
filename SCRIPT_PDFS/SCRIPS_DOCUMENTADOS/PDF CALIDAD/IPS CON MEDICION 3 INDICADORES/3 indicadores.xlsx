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AGS\DESARROLLO\GITHUB\Automatizaciones\SCRIPT_PDFS\SCRIPS_DOCUMENTADOS\PDF CALIDAD\IPS CON MEDICION 3 INDICADORES\"/>
    </mc:Choice>
  </mc:AlternateContent>
  <xr:revisionPtr revIDLastSave="0" documentId="13_ncr:1_{93DCF451-7ED7-4C74-860B-30DE6938342B}" xr6:coauthVersionLast="47" xr6:coauthVersionMax="47" xr10:uidLastSave="{00000000-0000-0000-0000-000000000000}"/>
  <bookViews>
    <workbookView xWindow="-120" yWindow="-120" windowWidth="19440" windowHeight="14880" xr2:uid="{00000000-000D-0000-FFFF-FFFF00000000}"/>
  </bookViews>
  <sheets>
    <sheet name="Hoja1" sheetId="1" r:id="rId1"/>
  </sheets>
  <definedNames>
    <definedName name="_xlnm._FilterDatabase" localSheetId="0">Hoja1!$A$1:$S$69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9" i="1" l="1"/>
  <c r="N69" i="1"/>
  <c r="M69" i="1"/>
  <c r="L69" i="1"/>
  <c r="H69" i="1"/>
  <c r="R69" i="1" s="1"/>
  <c r="O68" i="1"/>
  <c r="N68" i="1"/>
  <c r="M68" i="1"/>
  <c r="L68" i="1"/>
  <c r="H68" i="1"/>
  <c r="Q68" i="1" s="1"/>
  <c r="O67" i="1"/>
  <c r="N67" i="1"/>
  <c r="M67" i="1"/>
  <c r="L67" i="1"/>
  <c r="H67" i="1"/>
  <c r="Q67" i="1" s="1"/>
  <c r="R66" i="1"/>
  <c r="Q66" i="1"/>
  <c r="P66" i="1"/>
  <c r="O66" i="1"/>
  <c r="N66" i="1"/>
  <c r="M66" i="1"/>
  <c r="L66" i="1"/>
  <c r="O65" i="1"/>
  <c r="N65" i="1"/>
  <c r="M65" i="1"/>
  <c r="L65" i="1"/>
  <c r="H65" i="1"/>
  <c r="R65" i="1" s="1"/>
  <c r="R64" i="1"/>
  <c r="Q64" i="1"/>
  <c r="P64" i="1"/>
  <c r="O64" i="1"/>
  <c r="N64" i="1"/>
  <c r="M64" i="1"/>
  <c r="L64" i="1"/>
  <c r="O63" i="1"/>
  <c r="N63" i="1"/>
  <c r="M63" i="1"/>
  <c r="L63" i="1"/>
  <c r="H63" i="1"/>
  <c r="R63" i="1" s="1"/>
  <c r="R62" i="1"/>
  <c r="Q62" i="1"/>
  <c r="P62" i="1"/>
  <c r="O62" i="1"/>
  <c r="N62" i="1"/>
  <c r="M62" i="1"/>
  <c r="L62" i="1"/>
  <c r="R61" i="1"/>
  <c r="Q61" i="1"/>
  <c r="P61" i="1"/>
  <c r="O61" i="1"/>
  <c r="N61" i="1"/>
  <c r="M61" i="1"/>
  <c r="L61" i="1"/>
  <c r="R60" i="1"/>
  <c r="Q60" i="1"/>
  <c r="P60" i="1"/>
  <c r="O60" i="1"/>
  <c r="N60" i="1"/>
  <c r="M60" i="1"/>
  <c r="L60" i="1"/>
  <c r="O59" i="1"/>
  <c r="N59" i="1"/>
  <c r="M59" i="1"/>
  <c r="L59" i="1"/>
  <c r="H59" i="1"/>
  <c r="R59" i="1" s="1"/>
  <c r="R58" i="1"/>
  <c r="Q58" i="1"/>
  <c r="P58" i="1"/>
  <c r="O58" i="1"/>
  <c r="N58" i="1"/>
  <c r="M58" i="1"/>
  <c r="L58" i="1"/>
  <c r="R57" i="1"/>
  <c r="Q57" i="1"/>
  <c r="P57" i="1"/>
  <c r="O57" i="1"/>
  <c r="N57" i="1"/>
  <c r="M57" i="1"/>
  <c r="L57" i="1"/>
  <c r="O56" i="1"/>
  <c r="N56" i="1"/>
  <c r="M56" i="1"/>
  <c r="L56" i="1"/>
  <c r="H56" i="1"/>
  <c r="R56" i="1" s="1"/>
  <c r="R55" i="1"/>
  <c r="Q55" i="1"/>
  <c r="P55" i="1"/>
  <c r="O55" i="1"/>
  <c r="N55" i="1"/>
  <c r="M55" i="1"/>
  <c r="L55" i="1"/>
  <c r="R54" i="1"/>
  <c r="Q54" i="1"/>
  <c r="P54" i="1"/>
  <c r="O54" i="1"/>
  <c r="N54" i="1"/>
  <c r="M54" i="1"/>
  <c r="L54" i="1"/>
  <c r="R53" i="1"/>
  <c r="Q53" i="1"/>
  <c r="P53" i="1"/>
  <c r="O53" i="1"/>
  <c r="N53" i="1"/>
  <c r="M53" i="1"/>
  <c r="L53" i="1"/>
  <c r="R52" i="1"/>
  <c r="Q52" i="1"/>
  <c r="P52" i="1"/>
  <c r="O52" i="1"/>
  <c r="N52" i="1"/>
  <c r="M52" i="1"/>
  <c r="L52" i="1"/>
  <c r="O51" i="1"/>
  <c r="N51" i="1"/>
  <c r="M51" i="1"/>
  <c r="L51" i="1"/>
  <c r="H51" i="1"/>
  <c r="R51" i="1" s="1"/>
  <c r="O50" i="1"/>
  <c r="N50" i="1"/>
  <c r="M50" i="1"/>
  <c r="L50" i="1"/>
  <c r="H50" i="1"/>
  <c r="R50" i="1" s="1"/>
  <c r="R49" i="1"/>
  <c r="Q49" i="1"/>
  <c r="P49" i="1"/>
  <c r="O49" i="1"/>
  <c r="N49" i="1"/>
  <c r="M49" i="1"/>
  <c r="L49" i="1"/>
  <c r="R48" i="1"/>
  <c r="Q48" i="1"/>
  <c r="P48" i="1"/>
  <c r="O48" i="1"/>
  <c r="N48" i="1"/>
  <c r="M48" i="1"/>
  <c r="L48" i="1"/>
  <c r="R47" i="1"/>
  <c r="Q47" i="1"/>
  <c r="O47" i="1"/>
  <c r="N47" i="1"/>
  <c r="M47" i="1"/>
  <c r="L47" i="1"/>
  <c r="H47" i="1"/>
  <c r="P47" i="1" s="1"/>
  <c r="R46" i="1"/>
  <c r="Q46" i="1"/>
  <c r="P46" i="1"/>
  <c r="O46" i="1"/>
  <c r="N46" i="1"/>
  <c r="M46" i="1"/>
  <c r="L46" i="1"/>
  <c r="R45" i="1"/>
  <c r="Q45" i="1"/>
  <c r="P45" i="1"/>
  <c r="O45" i="1"/>
  <c r="N45" i="1"/>
  <c r="M45" i="1"/>
  <c r="L45" i="1"/>
  <c r="R44" i="1"/>
  <c r="Q44" i="1"/>
  <c r="P44" i="1"/>
  <c r="O44" i="1"/>
  <c r="N44" i="1"/>
  <c r="M44" i="1"/>
  <c r="L44" i="1"/>
  <c r="R43" i="1"/>
  <c r="O43" i="1"/>
  <c r="N43" i="1"/>
  <c r="M43" i="1"/>
  <c r="L43" i="1"/>
  <c r="H43" i="1"/>
  <c r="Q43" i="1" s="1"/>
  <c r="R42" i="1"/>
  <c r="Q42" i="1"/>
  <c r="P42" i="1"/>
  <c r="O42" i="1"/>
  <c r="N42" i="1"/>
  <c r="M42" i="1"/>
  <c r="L42" i="1"/>
  <c r="R41" i="1"/>
  <c r="Q41" i="1"/>
  <c r="P41" i="1"/>
  <c r="O41" i="1"/>
  <c r="N41" i="1"/>
  <c r="M41" i="1"/>
  <c r="L41" i="1"/>
  <c r="O40" i="1"/>
  <c r="N40" i="1"/>
  <c r="M40" i="1"/>
  <c r="L40" i="1"/>
  <c r="H40" i="1"/>
  <c r="R40" i="1" s="1"/>
  <c r="R39" i="1"/>
  <c r="Q39" i="1"/>
  <c r="P39" i="1"/>
  <c r="O39" i="1"/>
  <c r="N39" i="1"/>
  <c r="M39" i="1"/>
  <c r="L39" i="1"/>
  <c r="O38" i="1"/>
  <c r="N38" i="1"/>
  <c r="M38" i="1"/>
  <c r="L38" i="1"/>
  <c r="H38" i="1"/>
  <c r="R38" i="1" s="1"/>
  <c r="O37" i="1"/>
  <c r="N37" i="1"/>
  <c r="M37" i="1"/>
  <c r="L37" i="1"/>
  <c r="H37" i="1"/>
  <c r="Q37" i="1" s="1"/>
  <c r="R36" i="1"/>
  <c r="Q36" i="1"/>
  <c r="P36" i="1"/>
  <c r="O36" i="1"/>
  <c r="N36" i="1"/>
  <c r="M36" i="1"/>
  <c r="L36" i="1"/>
  <c r="O35" i="1"/>
  <c r="N35" i="1"/>
  <c r="M35" i="1"/>
  <c r="L35" i="1"/>
  <c r="H35" i="1"/>
  <c r="R35" i="1" s="1"/>
  <c r="R34" i="1"/>
  <c r="Q34" i="1"/>
  <c r="P34" i="1"/>
  <c r="O34" i="1"/>
  <c r="N34" i="1"/>
  <c r="M34" i="1"/>
  <c r="L34" i="1"/>
  <c r="O33" i="1"/>
  <c r="N33" i="1"/>
  <c r="M33" i="1"/>
  <c r="L33" i="1"/>
  <c r="H33" i="1"/>
  <c r="Q33" i="1" s="1"/>
  <c r="R32" i="1"/>
  <c r="Q32" i="1"/>
  <c r="P32" i="1"/>
  <c r="O32" i="1"/>
  <c r="N32" i="1"/>
  <c r="M32" i="1"/>
  <c r="L32" i="1"/>
  <c r="O31" i="1"/>
  <c r="N31" i="1"/>
  <c r="M31" i="1"/>
  <c r="L31" i="1"/>
  <c r="H31" i="1"/>
  <c r="R31" i="1" s="1"/>
  <c r="R30" i="1"/>
  <c r="Q30" i="1"/>
  <c r="P30" i="1"/>
  <c r="O30" i="1"/>
  <c r="N30" i="1"/>
  <c r="M30" i="1"/>
  <c r="L30" i="1"/>
  <c r="O29" i="1"/>
  <c r="N29" i="1"/>
  <c r="M29" i="1"/>
  <c r="L29" i="1"/>
  <c r="H29" i="1"/>
  <c r="R29" i="1" s="1"/>
  <c r="R28" i="1"/>
  <c r="Q28" i="1"/>
  <c r="P28" i="1"/>
  <c r="O28" i="1"/>
  <c r="N28" i="1"/>
  <c r="M28" i="1"/>
  <c r="L28" i="1"/>
  <c r="R27" i="1"/>
  <c r="Q27" i="1"/>
  <c r="P27" i="1"/>
  <c r="O27" i="1"/>
  <c r="N27" i="1"/>
  <c r="M27" i="1"/>
  <c r="L27" i="1"/>
  <c r="O26" i="1"/>
  <c r="N26" i="1"/>
  <c r="M26" i="1"/>
  <c r="L26" i="1"/>
  <c r="H26" i="1"/>
  <c r="R26" i="1" s="1"/>
  <c r="R25" i="1"/>
  <c r="Q25" i="1"/>
  <c r="P25" i="1"/>
  <c r="O25" i="1"/>
  <c r="N25" i="1"/>
  <c r="M25" i="1"/>
  <c r="L25" i="1"/>
  <c r="O24" i="1"/>
  <c r="N24" i="1"/>
  <c r="M24" i="1"/>
  <c r="L24" i="1"/>
  <c r="H24" i="1"/>
  <c r="P24" i="1" s="1"/>
  <c r="R23" i="1"/>
  <c r="Q23" i="1"/>
  <c r="P23" i="1"/>
  <c r="O23" i="1"/>
  <c r="N23" i="1"/>
  <c r="M23" i="1"/>
  <c r="L23" i="1"/>
  <c r="R22" i="1"/>
  <c r="Q22" i="1"/>
  <c r="P22" i="1"/>
  <c r="O22" i="1"/>
  <c r="N22" i="1"/>
  <c r="M22" i="1"/>
  <c r="L22" i="1"/>
  <c r="R21" i="1"/>
  <c r="Q21" i="1"/>
  <c r="P21" i="1"/>
  <c r="O21" i="1"/>
  <c r="N21" i="1"/>
  <c r="M21" i="1"/>
  <c r="L21" i="1"/>
  <c r="R20" i="1"/>
  <c r="Q20" i="1"/>
  <c r="P20" i="1"/>
  <c r="O20" i="1"/>
  <c r="N20" i="1"/>
  <c r="M20" i="1"/>
  <c r="L20" i="1"/>
  <c r="O19" i="1"/>
  <c r="N19" i="1"/>
  <c r="M19" i="1"/>
  <c r="L19" i="1"/>
  <c r="H19" i="1"/>
  <c r="R19" i="1" s="1"/>
  <c r="O18" i="1"/>
  <c r="N18" i="1"/>
  <c r="M18" i="1"/>
  <c r="L18" i="1"/>
  <c r="H18" i="1"/>
  <c r="P18" i="1" s="1"/>
  <c r="R17" i="1"/>
  <c r="Q17" i="1"/>
  <c r="P17" i="1"/>
  <c r="O17" i="1"/>
  <c r="N17" i="1"/>
  <c r="M17" i="1"/>
  <c r="L17" i="1"/>
  <c r="H17" i="1"/>
  <c r="R16" i="1"/>
  <c r="Q16" i="1"/>
  <c r="P16" i="1"/>
  <c r="O16" i="1"/>
  <c r="N16" i="1"/>
  <c r="M16" i="1"/>
  <c r="L16" i="1"/>
  <c r="O15" i="1"/>
  <c r="N15" i="1"/>
  <c r="M15" i="1"/>
  <c r="L15" i="1"/>
  <c r="H15" i="1"/>
  <c r="Q15" i="1" s="1"/>
  <c r="R14" i="1"/>
  <c r="Q14" i="1"/>
  <c r="P14" i="1"/>
  <c r="O14" i="1"/>
  <c r="N14" i="1"/>
  <c r="M14" i="1"/>
  <c r="L14" i="1"/>
  <c r="R13" i="1"/>
  <c r="Q13" i="1"/>
  <c r="P13" i="1"/>
  <c r="O13" i="1"/>
  <c r="N13" i="1"/>
  <c r="M13" i="1"/>
  <c r="L13" i="1"/>
  <c r="H13" i="1"/>
  <c r="R12" i="1"/>
  <c r="Q12" i="1"/>
  <c r="P12" i="1"/>
  <c r="O12" i="1"/>
  <c r="N12" i="1"/>
  <c r="M12" i="1"/>
  <c r="L12" i="1"/>
  <c r="O11" i="1"/>
  <c r="N11" i="1"/>
  <c r="M11" i="1"/>
  <c r="L11" i="1"/>
  <c r="H11" i="1"/>
  <c r="R11" i="1" s="1"/>
  <c r="O10" i="1"/>
  <c r="N10" i="1"/>
  <c r="M10" i="1"/>
  <c r="L10" i="1"/>
  <c r="H10" i="1"/>
  <c r="P10" i="1" s="1"/>
  <c r="R9" i="1"/>
  <c r="Q9" i="1"/>
  <c r="P9" i="1"/>
  <c r="O9" i="1"/>
  <c r="N9" i="1"/>
  <c r="M9" i="1"/>
  <c r="L9" i="1"/>
  <c r="R8" i="1"/>
  <c r="Q8" i="1"/>
  <c r="P8" i="1"/>
  <c r="O8" i="1"/>
  <c r="N8" i="1"/>
  <c r="M8" i="1"/>
  <c r="L8" i="1"/>
  <c r="O7" i="1"/>
  <c r="N7" i="1"/>
  <c r="M7" i="1"/>
  <c r="L7" i="1"/>
  <c r="H7" i="1"/>
  <c r="Q7" i="1" s="1"/>
  <c r="O6" i="1"/>
  <c r="N6" i="1"/>
  <c r="M6" i="1"/>
  <c r="L6" i="1"/>
  <c r="H6" i="1"/>
  <c r="Q6" i="1" s="1"/>
  <c r="O5" i="1"/>
  <c r="N5" i="1"/>
  <c r="M5" i="1"/>
  <c r="L5" i="1"/>
  <c r="H5" i="1"/>
  <c r="R5" i="1" s="1"/>
  <c r="O4" i="1"/>
  <c r="N4" i="1"/>
  <c r="M4" i="1"/>
  <c r="L4" i="1"/>
  <c r="H4" i="1"/>
  <c r="R4" i="1" s="1"/>
  <c r="R3" i="1"/>
  <c r="Q3" i="1"/>
  <c r="P3" i="1"/>
  <c r="O3" i="1"/>
  <c r="N3" i="1"/>
  <c r="M3" i="1"/>
  <c r="L3" i="1"/>
  <c r="R2" i="1"/>
  <c r="Q2" i="1"/>
  <c r="P2" i="1"/>
  <c r="O2" i="1"/>
  <c r="N2" i="1"/>
  <c r="M2" i="1"/>
  <c r="L2" i="1"/>
  <c r="R6" i="1" l="1"/>
  <c r="P6" i="1"/>
  <c r="R24" i="1"/>
  <c r="P26" i="1"/>
  <c r="P51" i="1"/>
  <c r="P11" i="1"/>
  <c r="Q24" i="1"/>
  <c r="P43" i="1"/>
  <c r="Q51" i="1"/>
  <c r="P59" i="1"/>
  <c r="Q10" i="1"/>
  <c r="P40" i="1"/>
  <c r="Q59" i="1"/>
  <c r="P63" i="1"/>
  <c r="R10" i="1"/>
  <c r="P29" i="1"/>
  <c r="Q40" i="1"/>
  <c r="Q63" i="1"/>
  <c r="Q29" i="1"/>
  <c r="P67" i="1"/>
  <c r="P33" i="1"/>
  <c r="R67" i="1"/>
  <c r="Q18" i="1"/>
  <c r="R18" i="1"/>
  <c r="Q56" i="1"/>
  <c r="R7" i="1"/>
  <c r="Q11" i="1"/>
  <c r="Q4" i="1"/>
  <c r="R15" i="1"/>
  <c r="P7" i="1"/>
  <c r="R33" i="1"/>
  <c r="P56" i="1"/>
  <c r="R37" i="1"/>
  <c r="P37" i="1"/>
  <c r="Q26" i="1"/>
  <c r="P4" i="1"/>
  <c r="P15" i="1"/>
  <c r="P19" i="1"/>
  <c r="R68" i="1"/>
  <c r="Q19" i="1"/>
  <c r="P38" i="1"/>
  <c r="Q38" i="1"/>
  <c r="P65" i="1"/>
  <c r="P31" i="1"/>
  <c r="Q65" i="1"/>
  <c r="P5" i="1"/>
  <c r="Q31" i="1"/>
  <c r="P50" i="1"/>
  <c r="Q5" i="1"/>
  <c r="P35" i="1"/>
  <c r="Q50" i="1"/>
  <c r="P69" i="1"/>
  <c r="Q35" i="1"/>
  <c r="Q69" i="1"/>
  <c r="P68" i="1"/>
</calcChain>
</file>

<file path=xl/sharedStrings.xml><?xml version="1.0" encoding="utf-8"?>
<sst xmlns="http://schemas.openxmlformats.org/spreadsheetml/2006/main" count="359" uniqueCount="157">
  <si>
    <t>campoa</t>
  </si>
  <si>
    <t>campob</t>
  </si>
  <si>
    <t>campoc</t>
  </si>
  <si>
    <t>campod</t>
  </si>
  <si>
    <t>campoe</t>
  </si>
  <si>
    <t>campof</t>
  </si>
  <si>
    <t>campog</t>
  </si>
  <si>
    <t>campoi</t>
  </si>
  <si>
    <t>campoj</t>
  </si>
  <si>
    <t>campok</t>
  </si>
  <si>
    <t>campol</t>
  </si>
  <si>
    <t>campom</t>
  </si>
  <si>
    <t>campon</t>
  </si>
  <si>
    <t>campoo</t>
  </si>
  <si>
    <t>campop</t>
  </si>
  <si>
    <t>campoq</t>
  </si>
  <si>
    <t>campor</t>
  </si>
  <si>
    <t>campos</t>
  </si>
  <si>
    <t>campot</t>
  </si>
  <si>
    <t>23.01.2026</t>
  </si>
  <si>
    <t>IV TRIMESTRE</t>
  </si>
  <si>
    <t>CORPORACIÓN CLÍNICA PRIMAVERA</t>
  </si>
  <si>
    <t>0936-2024</t>
  </si>
  <si>
    <t>RADIOLOGOS ASOCIADOS S.A.S.</t>
  </si>
  <si>
    <t>0928-2024</t>
  </si>
  <si>
    <t>EMPRESA SOCIAL DEL ESTADO HOSPITAL SAN ANTONIO DE SESQUILE</t>
  </si>
  <si>
    <t>0920-2024</t>
  </si>
  <si>
    <t>GAMANUCLEAR LTDA</t>
  </si>
  <si>
    <t>0903-2024</t>
  </si>
  <si>
    <t>HOSPITAL REGIONAL DE SOGAMOSO ESE</t>
  </si>
  <si>
    <t>0903-2021</t>
  </si>
  <si>
    <t>CLINICA CENTRAL DEL QUINDIO SAS</t>
  </si>
  <si>
    <t>0881-2024</t>
  </si>
  <si>
    <t>CLINICA LOS ROSALES S.A.</t>
  </si>
  <si>
    <t>0871-2024</t>
  </si>
  <si>
    <t xml:space="preserve">E.S.E. HOSPITAL DEPARTAMENTAL SAN VICENTE DE PAUL </t>
  </si>
  <si>
    <t>0837-2024</t>
  </si>
  <si>
    <t>HOSPITAL LOCAL DE GUAMAL PRIMER NIVEL ESE</t>
  </si>
  <si>
    <t>0827-2021</t>
  </si>
  <si>
    <t>HOSPITAL REINA SOFIA DE ESPAÑA LERIDA TOLIMA</t>
  </si>
  <si>
    <t>0820-2025</t>
  </si>
  <si>
    <t>CLINICA JUAN N CORPAS LTDA</t>
  </si>
  <si>
    <t>0817-2024</t>
  </si>
  <si>
    <t>EMPRESA SOCIAL DEL ESTADO HOSPITAL REGIONAL DE DUITAMA</t>
  </si>
  <si>
    <t>0805-2025</t>
  </si>
  <si>
    <t>E.S.E HOSPITAL SAN MARCOS DE CHINCHINA</t>
  </si>
  <si>
    <t>0798-2025</t>
  </si>
  <si>
    <t>CLINICA DE FRACTURAS VITA S.A.S.</t>
  </si>
  <si>
    <t>0789-2024</t>
  </si>
  <si>
    <t>SOCIEDAD CLINICA BOYACA SAS</t>
  </si>
  <si>
    <t>0783-2025</t>
  </si>
  <si>
    <t>EMPRESA SOCIAL DEL ESTADO HOSPITAL NIVEL 1 PUERTO RICO</t>
  </si>
  <si>
    <t>0769-2024</t>
  </si>
  <si>
    <t>SUBRED INTEGRADA DE SERVICIOS DE SALUD SUR E.S.E.</t>
  </si>
  <si>
    <t>0765-2025</t>
  </si>
  <si>
    <t>ESE HOSPITAL LOCAL DE SAN CARLOS DE GUAROA</t>
  </si>
  <si>
    <t>0764-2021</t>
  </si>
  <si>
    <t>E.S.E HOSPITAL DEPARTAMENTAL SAN ANTONIO DE PITALITO</t>
  </si>
  <si>
    <t>0753-2025</t>
  </si>
  <si>
    <t>SOCIEDAD DE ESPECIALISTAS DE GIRARDOT S.A.S</t>
  </si>
  <si>
    <t>0727-2024</t>
  </si>
  <si>
    <t>CLINICA DE ESPECIALISTAS SA</t>
  </si>
  <si>
    <t>0697-2024</t>
  </si>
  <si>
    <t>HOSPITAL SAN JUAN DE DIOS DE HONDA EMPRESA SOCIAL DEL ESTADO</t>
  </si>
  <si>
    <t>0690-2025</t>
  </si>
  <si>
    <t>SOCIEDAD COMERCIALIZADORA DE INSUMOS Y SERVICIOS MÉDICOS S.A.S. - SOCIMÉDICOS SAS</t>
  </si>
  <si>
    <t>0674-2024</t>
  </si>
  <si>
    <t>CLINICA DE MARLY S.A.</t>
  </si>
  <si>
    <t>0674-2021</t>
  </si>
  <si>
    <t>HOSPITAL DEPARTAMENTAL DE GRANADA ESE</t>
  </si>
  <si>
    <t>0667-2025</t>
  </si>
  <si>
    <t xml:space="preserve">E.S.E. HOSPITAL UNIVERSITARIO DE LA SAMARITANA </t>
  </si>
  <si>
    <t>0655-2025</t>
  </si>
  <si>
    <t>E.S.E HOSPITAL JOSE CAYETANO VASQUEZ</t>
  </si>
  <si>
    <t>0646-2024</t>
  </si>
  <si>
    <t>HOSPITAL DE CASTILLA LA NUEVA EMPRESA SOCIAL DEL ESTADO</t>
  </si>
  <si>
    <t>0629-2020</t>
  </si>
  <si>
    <t>ESE HOSPITAL SAN JOSE DEL GUAVIARE</t>
  </si>
  <si>
    <t>0626-2019</t>
  </si>
  <si>
    <t>CENTRO MEDICO DE ESPECIALISTAS CME S.A</t>
  </si>
  <si>
    <t>0621-2024</t>
  </si>
  <si>
    <t>EMPRESA SOCIAL DEL ESTADO HOSPITAL LA MISERICORDIA DE CALARCA</t>
  </si>
  <si>
    <t>0611-2025</t>
  </si>
  <si>
    <t>ESE HOSPITAL REGIONAL DE CHIQUINQUIRÁ</t>
  </si>
  <si>
    <t>0579-2021</t>
  </si>
  <si>
    <t>HOSPITAL DEPARTAMENTAL DE VILLAVICENCIO</t>
  </si>
  <si>
    <t>0572-2023</t>
  </si>
  <si>
    <t>HOSPITAL REGIONAL DE MONIQUIRA ESE</t>
  </si>
  <si>
    <t>0564-2021</t>
  </si>
  <si>
    <t>CLINICA MEDILASER S.A.S.</t>
  </si>
  <si>
    <t>0527-2025</t>
  </si>
  <si>
    <t>SUBRED INTEGRADA DE SERVICIOS DE SALUD SUR OCCIDENTE E.S.E</t>
  </si>
  <si>
    <t>0513-2023</t>
  </si>
  <si>
    <t>SERVICIOS MEDICOS INTEGRALES DE SALUD SAS - SERVIMEDICOS SAS</t>
  </si>
  <si>
    <t>0501-2024</t>
  </si>
  <si>
    <t>HOSPITAL SAN RAFAEL DEL ESPINAL TOLIMA EMPRESA SOCIAL DEL ESTADO</t>
  </si>
  <si>
    <t>0490-2023</t>
  </si>
  <si>
    <t>HOSPITAL FEDERICO LLERAS ACOSTA E.S.E.</t>
  </si>
  <si>
    <t>0411-2021</t>
  </si>
  <si>
    <t>CLÍNICA UNIVERSIDAD DE LA SABANA</t>
  </si>
  <si>
    <t>0379-2025</t>
  </si>
  <si>
    <t>SUBRED INTEGRADA DE SERVICIOS DE SALUD NORTE E.S.E.</t>
  </si>
  <si>
    <t>0343-2022</t>
  </si>
  <si>
    <t>CENTRO DE IMÁGENES DIAGNÓSTICAS CEDIM IPS S.A.S.</t>
  </si>
  <si>
    <t>0334-2025</t>
  </si>
  <si>
    <t>CORPORACION HOSPITALARIA JUAN CIUDAD-MEDERI</t>
  </si>
  <si>
    <t>0318-2021</t>
  </si>
  <si>
    <t>RED SALUD CASANARE EMPRESA SOCIAL DEL ESTADO</t>
  </si>
  <si>
    <t>0304-2022</t>
  </si>
  <si>
    <t>FUNDACIÓN CARDIOINFANTIL-INSTITUTO DE CARDIOLOGIA</t>
  </si>
  <si>
    <t>0299-2022</t>
  </si>
  <si>
    <t>ESE HOSPITAL MALVINAS HECTOR OROZCO OROZCO</t>
  </si>
  <si>
    <t>0296-2022</t>
  </si>
  <si>
    <t>ESE RAFAEL TOVAR POVEDA</t>
  </si>
  <si>
    <t>0292-2022</t>
  </si>
  <si>
    <t>E.S.E. HOSPITAL SANTA MARTA DE SAMACÁ</t>
  </si>
  <si>
    <t>0283-2021</t>
  </si>
  <si>
    <t>HOSPITAL UNIVERSITARIO SAN IGNACIO</t>
  </si>
  <si>
    <t>0278-2020</t>
  </si>
  <si>
    <t>CENTRAL DE URGENCIAS LOUIS PASTEUR E.S.E.</t>
  </si>
  <si>
    <t>0264-2022</t>
  </si>
  <si>
    <t>FUNDACION CLINICA LETICIA</t>
  </si>
  <si>
    <t>0259-2022</t>
  </si>
  <si>
    <t>HOSPITAL REGIONAL DE LA ORINOQUIA E.S.E.</t>
  </si>
  <si>
    <t>0256-2019</t>
  </si>
  <si>
    <t>HOSPITAL SAN VICENTE DE ARAUCA - E.S.E</t>
  </si>
  <si>
    <t>0249-2024</t>
  </si>
  <si>
    <t>CLINICA BELO HORIZONTE S.A.S</t>
  </si>
  <si>
    <t>0231-2024</t>
  </si>
  <si>
    <t>CLINICA SANTA MONICA DE BOGOTA S.A.S.</t>
  </si>
  <si>
    <t>0222-2025</t>
  </si>
  <si>
    <t>CONGREGACION DE DOMINICAS DE SANTA CATALINA DE SENA - CLINICA NUEVA</t>
  </si>
  <si>
    <t>0215-2024</t>
  </si>
  <si>
    <t>SERVICIOS ESPECIALES DE SALUD-SES HOSPITAL UNIVERSITARIO DE CALDAS</t>
  </si>
  <si>
    <t>0196-2025</t>
  </si>
  <si>
    <t>HOSPITAL DEL SARARE EMPRESA SOCIAL DEL ESTADO</t>
  </si>
  <si>
    <t>0185-2025</t>
  </si>
  <si>
    <t>CLINICA ASOTRAUMA SAS</t>
  </si>
  <si>
    <t>0116-2024</t>
  </si>
  <si>
    <t>HOSPITAL REGIONAL ALFONSO JARAMILLO SALAZAR EMPRESA SOCIAL DEL ESTADO</t>
  </si>
  <si>
    <t>0112-2023</t>
  </si>
  <si>
    <t>SOCIEDAD MEDICO QUIRÚRGICA NUESTRA SEÑORA DE BELÉN DE FUSAGASUGA S.A.S</t>
  </si>
  <si>
    <t>0069-2020</t>
  </si>
  <si>
    <t>EMPRESA SOCIAL DEL ESTADO HOSPITAL SAN PEDRO Y SAN PABLO</t>
  </si>
  <si>
    <t>0055-2023</t>
  </si>
  <si>
    <t>CLINICA CASANARE S.A</t>
  </si>
  <si>
    <t>0004-2022</t>
  </si>
  <si>
    <t>EMPRESA SOCIAL DEL ESTADO SALUD PEREIRA</t>
  </si>
  <si>
    <t>0984-2021</t>
  </si>
  <si>
    <t>EMPRESA SOCIAL DEL ESTADO HOSPITAL EL SALVADOR DE UBATE</t>
  </si>
  <si>
    <t>0794-2025</t>
  </si>
  <si>
    <t>RED SALUD ARMENIA EMPRESA SOCIAL DEL ESTADO - ESE</t>
  </si>
  <si>
    <t>0666-2020</t>
  </si>
  <si>
    <t>EMPRESA SOCIAL DEL ESTADO HOSPITAL SAGRADO CORAZÓN DE JESÚS DE SOCHA</t>
  </si>
  <si>
    <t>0656-2024</t>
  </si>
  <si>
    <t>IPS CLINICA DE FRACTURAS CLINITRAUMA S.A.S</t>
  </si>
  <si>
    <t>0761-2023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</si>
</sst>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 wrapText="1"/>
    </xf>
    <xf numFmtId="4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S69"/>
  <sheetViews>
    <sheetView tabSelected="1" workbookViewId="0">
      <selection activeCell="H1" sqref="H1:H1048576"/>
    </sheetView>
  </sheetViews>
  <sheetFormatPr baseColWidth="10" defaultColWidth="9.140625" defaultRowHeight="15" x14ac:dyDescent="0.25"/>
  <cols>
    <col min="1" max="1" width="19.5703125" style="8" bestFit="1" customWidth="1"/>
    <col min="2" max="2" width="26.42578125" style="8" bestFit="1" customWidth="1"/>
    <col min="3" max="3" width="12.42578125" style="9" bestFit="1" customWidth="1"/>
    <col min="4" max="4" width="11.42578125" style="9" bestFit="1" customWidth="1"/>
    <col min="5" max="7" width="11.42578125" style="10" bestFit="1" customWidth="1"/>
    <col min="8" max="8" width="11.42578125" style="11" bestFit="1" customWidth="1"/>
    <col min="9" max="9" width="11.42578125" style="12" bestFit="1" customWidth="1"/>
    <col min="10" max="11" width="11.42578125" style="13" bestFit="1" customWidth="1"/>
    <col min="12" max="12" width="13.42578125" style="8" bestFit="1" customWidth="1"/>
    <col min="13" max="15" width="12.85546875" style="8" bestFit="1" customWidth="1"/>
    <col min="16" max="18" width="11.42578125" style="8" bestFit="1" customWidth="1"/>
    <col min="19" max="19" width="13.5703125" style="8" bestFit="1" customWidth="1"/>
  </cols>
  <sheetData>
    <row r="1" spans="1:19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6" t="s">
        <v>9</v>
      </c>
      <c r="K1" s="6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82.5" customHeight="1" x14ac:dyDescent="0.25">
      <c r="A2" s="1" t="s">
        <v>19</v>
      </c>
      <c r="B2" s="1" t="s">
        <v>20</v>
      </c>
      <c r="C2" s="2" t="s">
        <v>21</v>
      </c>
      <c r="D2" s="2" t="s">
        <v>22</v>
      </c>
      <c r="E2" s="3">
        <v>4</v>
      </c>
      <c r="F2" s="3">
        <v>4</v>
      </c>
      <c r="G2" s="3">
        <v>4</v>
      </c>
      <c r="H2" s="4">
        <v>4</v>
      </c>
      <c r="I2" s="5">
        <v>225</v>
      </c>
      <c r="J2" s="6">
        <v>112</v>
      </c>
      <c r="K2" s="6">
        <v>112</v>
      </c>
      <c r="L2" s="7" t="str">
        <f>IF(E2&gt;=4,"cumplimiento del indicador","no cumplimiento con el indicador")</f>
        <v>cumplimiento del indicador</v>
      </c>
      <c r="M2" s="7" t="str">
        <f>IF(F2&gt;=4,"cumplimiento del indicador","no cumplimiento con el indicador")</f>
        <v>cumplimiento del indicador</v>
      </c>
      <c r="N2" s="7" t="str">
        <f>IF(G2&gt;=4,"cumplimiento del indicador","no cumplimiento con el indicador")</f>
        <v>cumplimiento del indicador</v>
      </c>
      <c r="O2" s="7" t="e">
        <f>IF(#REF!&gt;=4,"cumplimiento del indicador","no cumplimiento con el indicador")</f>
        <v>#REF!</v>
      </c>
      <c r="P2" s="7" t="str">
        <f t="shared" ref="P2:P33" si="0">IF(H2&gt;=4,"Cumplimiento en la evaluación de los indicadores.","No cumplimiento en la evaluación de los indicadores.")</f>
        <v>Cumplimiento en la evaluación de los indicadores.</v>
      </c>
      <c r="Q2" s="7" t="str">
        <f t="shared" ref="Q2:Q33" si="1">IF(H2&gt;=4,"No se requiere plan de mejora.","Se requiere plan de mejora.")</f>
        <v>No se requiere plan de mejora.</v>
      </c>
      <c r="R2" s="7" t="str">
        <f t="shared" ref="R2:R33" si="2">IF(H2&gt;=4,"Se evidencia cumplimiento en la evaluacion de los indicadores.","Se evidencia incumplimiento en la evaluacion de los indicadores.")</f>
        <v>Se evidencia cumplimiento en la evaluacion de los indicadores.</v>
      </c>
      <c r="S2" s="1" t="s">
        <v>20</v>
      </c>
    </row>
    <row r="3" spans="1:19" ht="82.5" customHeight="1" x14ac:dyDescent="0.25">
      <c r="A3" s="1" t="s">
        <v>19</v>
      </c>
      <c r="B3" s="1" t="s">
        <v>20</v>
      </c>
      <c r="C3" s="2" t="s">
        <v>23</v>
      </c>
      <c r="D3" s="2" t="s">
        <v>24</v>
      </c>
      <c r="E3" s="3">
        <v>4</v>
      </c>
      <c r="F3" s="3">
        <v>4</v>
      </c>
      <c r="G3" s="3">
        <v>4</v>
      </c>
      <c r="H3" s="4">
        <v>4</v>
      </c>
      <c r="I3" s="5">
        <v>41</v>
      </c>
      <c r="J3" s="6">
        <v>20</v>
      </c>
      <c r="K3" s="6">
        <v>20</v>
      </c>
      <c r="L3" s="7" t="str">
        <f>IF(E3&gt;=4,"cumplimiento del indicador","no cumplimiento con el indicador")</f>
        <v>cumplimiento del indicador</v>
      </c>
      <c r="M3" s="7" t="str">
        <f>IF(F3&gt;=4,"cumplimiento del indicador","no cumplimiento con el indicador")</f>
        <v>cumplimiento del indicador</v>
      </c>
      <c r="N3" s="7" t="str">
        <f>IF(G3&gt;=4,"cumplimiento del indicador","no cumplimiento con el indicador")</f>
        <v>cumplimiento del indicador</v>
      </c>
      <c r="O3" s="7" t="e">
        <f>IF(#REF!&gt;=4,"cumplimiento del indicador","no cumplimiento con el indicador")</f>
        <v>#REF!</v>
      </c>
      <c r="P3" s="7" t="str">
        <f t="shared" si="0"/>
        <v>Cumplimiento en la evaluación de los indicadores.</v>
      </c>
      <c r="Q3" s="7" t="str">
        <f t="shared" si="1"/>
        <v>No se requiere plan de mejora.</v>
      </c>
      <c r="R3" s="7" t="str">
        <f t="shared" si="2"/>
        <v>Se evidencia cumplimiento en la evaluacion de los indicadores.</v>
      </c>
      <c r="S3" s="1" t="s">
        <v>20</v>
      </c>
    </row>
    <row r="4" spans="1:19" ht="82.5" customHeight="1" x14ac:dyDescent="0.25">
      <c r="A4" s="1" t="s">
        <v>19</v>
      </c>
      <c r="B4" s="1" t="s">
        <v>20</v>
      </c>
      <c r="C4" s="2" t="s">
        <v>25</v>
      </c>
      <c r="D4" s="2" t="s">
        <v>26</v>
      </c>
      <c r="E4" s="3">
        <v>5</v>
      </c>
      <c r="F4" s="3">
        <v>5</v>
      </c>
      <c r="G4" s="3">
        <v>5</v>
      </c>
      <c r="H4" s="4">
        <f>AVERAGE(E4:G4)</f>
        <v>5</v>
      </c>
      <c r="I4" s="5">
        <v>18</v>
      </c>
      <c r="J4" s="6">
        <v>9</v>
      </c>
      <c r="K4" s="6">
        <v>9</v>
      </c>
      <c r="L4" s="7" t="str">
        <f>IF(E4&gt;=4,"cumplimiento del indicador","no cumplimiento con el indicador")</f>
        <v>cumplimiento del indicador</v>
      </c>
      <c r="M4" s="7" t="str">
        <f>IF(F4&gt;=4,"cumplimiento del indicador","no cumplimiento con el indicador")</f>
        <v>cumplimiento del indicador</v>
      </c>
      <c r="N4" s="7" t="str">
        <f>IF(G4&gt;=4,"cumplimiento del indicador","no cumplimiento con el indicador")</f>
        <v>cumplimiento del indicador</v>
      </c>
      <c r="O4" s="7" t="e">
        <f>IF(#REF!&gt;=4,"cumplimiento del indicador","no cumplimiento con el indicador")</f>
        <v>#REF!</v>
      </c>
      <c r="P4" s="7" t="str">
        <f t="shared" si="0"/>
        <v>Cumplimiento en la evaluación de los indicadores.</v>
      </c>
      <c r="Q4" s="7" t="str">
        <f t="shared" si="1"/>
        <v>No se requiere plan de mejora.</v>
      </c>
      <c r="R4" s="7" t="str">
        <f t="shared" si="2"/>
        <v>Se evidencia cumplimiento en la evaluacion de los indicadores.</v>
      </c>
      <c r="S4" s="1" t="s">
        <v>20</v>
      </c>
    </row>
    <row r="5" spans="1:19" ht="82.5" customHeight="1" x14ac:dyDescent="0.25">
      <c r="A5" s="1" t="s">
        <v>19</v>
      </c>
      <c r="B5" s="1" t="s">
        <v>20</v>
      </c>
      <c r="C5" s="2" t="s">
        <v>27</v>
      </c>
      <c r="D5" s="2" t="s">
        <v>28</v>
      </c>
      <c r="E5" s="3">
        <v>4</v>
      </c>
      <c r="F5" s="3">
        <v>4</v>
      </c>
      <c r="G5" s="3">
        <v>4</v>
      </c>
      <c r="H5" s="4">
        <f>AVERAGE(E5:G5)</f>
        <v>4</v>
      </c>
      <c r="I5" s="5">
        <v>49</v>
      </c>
      <c r="J5" s="6">
        <v>24</v>
      </c>
      <c r="K5" s="6">
        <v>24</v>
      </c>
      <c r="L5" s="7" t="str">
        <f>IF(E5&gt;=4,"cumplimiento del indicador","no cumplimiento con el indicador")</f>
        <v>cumplimiento del indicador</v>
      </c>
      <c r="M5" s="7" t="str">
        <f>IF(F5&gt;=4,"cumplimiento del indicador","no cumplimiento con el indicador")</f>
        <v>cumplimiento del indicador</v>
      </c>
      <c r="N5" s="7" t="str">
        <f>IF(G5&gt;=4,"cumplimiento del indicador","no cumplimiento con el indicador")</f>
        <v>cumplimiento del indicador</v>
      </c>
      <c r="O5" s="7" t="e">
        <f>IF(#REF!&gt;=4,"cumplimiento del indicador","no cumplimiento con el indicador")</f>
        <v>#REF!</v>
      </c>
      <c r="P5" s="7" t="str">
        <f t="shared" si="0"/>
        <v>Cumplimiento en la evaluación de los indicadores.</v>
      </c>
      <c r="Q5" s="7" t="str">
        <f t="shared" si="1"/>
        <v>No se requiere plan de mejora.</v>
      </c>
      <c r="R5" s="7" t="str">
        <f t="shared" si="2"/>
        <v>Se evidencia cumplimiento en la evaluacion de los indicadores.</v>
      </c>
      <c r="S5" s="1" t="s">
        <v>20</v>
      </c>
    </row>
    <row r="6" spans="1:19" ht="82.5" customHeight="1" x14ac:dyDescent="0.25">
      <c r="A6" s="1" t="s">
        <v>19</v>
      </c>
      <c r="B6" s="1" t="s">
        <v>20</v>
      </c>
      <c r="C6" s="2" t="s">
        <v>29</v>
      </c>
      <c r="D6" s="2" t="s">
        <v>30</v>
      </c>
      <c r="E6" s="3">
        <v>4</v>
      </c>
      <c r="F6" s="3">
        <v>4</v>
      </c>
      <c r="G6" s="3">
        <v>4</v>
      </c>
      <c r="H6" s="4">
        <f>AVERAGE(E6:G6)</f>
        <v>4</v>
      </c>
      <c r="I6" s="5">
        <v>115</v>
      </c>
      <c r="J6" s="6">
        <v>57</v>
      </c>
      <c r="K6" s="6">
        <v>57</v>
      </c>
      <c r="L6" s="7" t="str">
        <f>IF(E6&gt;=4,"cumplimiento del indicador","no cumplimiento con el indicador")</f>
        <v>cumplimiento del indicador</v>
      </c>
      <c r="M6" s="7" t="str">
        <f>IF(F6&gt;=4,"cumplimiento del indicador","no cumplimiento con el indicador")</f>
        <v>cumplimiento del indicador</v>
      </c>
      <c r="N6" s="7" t="str">
        <f>IF(G6&gt;=4,"cumplimiento del indicador","no cumplimiento con el indicador")</f>
        <v>cumplimiento del indicador</v>
      </c>
      <c r="O6" s="7" t="e">
        <f>IF(#REF!&gt;=4,"cumplimiento del indicador","no cumplimiento con el indicador")</f>
        <v>#REF!</v>
      </c>
      <c r="P6" s="7" t="str">
        <f t="shared" si="0"/>
        <v>Cumplimiento en la evaluación de los indicadores.</v>
      </c>
      <c r="Q6" s="7" t="str">
        <f t="shared" si="1"/>
        <v>No se requiere plan de mejora.</v>
      </c>
      <c r="R6" s="7" t="str">
        <f t="shared" si="2"/>
        <v>Se evidencia cumplimiento en la evaluacion de los indicadores.</v>
      </c>
      <c r="S6" s="1" t="s">
        <v>20</v>
      </c>
    </row>
    <row r="7" spans="1:19" ht="82.5" customHeight="1" x14ac:dyDescent="0.25">
      <c r="A7" s="1" t="s">
        <v>19</v>
      </c>
      <c r="B7" s="1" t="s">
        <v>20</v>
      </c>
      <c r="C7" s="2" t="s">
        <v>31</v>
      </c>
      <c r="D7" s="2" t="s">
        <v>32</v>
      </c>
      <c r="E7" s="3">
        <v>4</v>
      </c>
      <c r="F7" s="3">
        <v>4</v>
      </c>
      <c r="G7" s="3">
        <v>4</v>
      </c>
      <c r="H7" s="4">
        <f>AVERAGE(E7:G7)</f>
        <v>4</v>
      </c>
      <c r="I7" s="5">
        <v>214</v>
      </c>
      <c r="J7" s="6">
        <v>107</v>
      </c>
      <c r="K7" s="6">
        <v>107</v>
      </c>
      <c r="L7" s="7" t="str">
        <f>IF(E7&gt;=4,"cumplimiento del indicador","no cumplimiento con el indicador")</f>
        <v>cumplimiento del indicador</v>
      </c>
      <c r="M7" s="7" t="str">
        <f>IF(F7&gt;=4,"cumplimiento del indicador","no cumplimiento con el indicador")</f>
        <v>cumplimiento del indicador</v>
      </c>
      <c r="N7" s="7" t="str">
        <f>IF(G7&gt;=4,"cumplimiento del indicador","no cumplimiento con el indicador")</f>
        <v>cumplimiento del indicador</v>
      </c>
      <c r="O7" s="7" t="e">
        <f>IF(#REF!&gt;=4,"cumplimiento del indicador","no cumplimiento con el indicador")</f>
        <v>#REF!</v>
      </c>
      <c r="P7" s="7" t="str">
        <f t="shared" si="0"/>
        <v>Cumplimiento en la evaluación de los indicadores.</v>
      </c>
      <c r="Q7" s="7" t="str">
        <f t="shared" si="1"/>
        <v>No se requiere plan de mejora.</v>
      </c>
      <c r="R7" s="7" t="str">
        <f t="shared" si="2"/>
        <v>Se evidencia cumplimiento en la evaluacion de los indicadores.</v>
      </c>
      <c r="S7" s="1" t="s">
        <v>20</v>
      </c>
    </row>
    <row r="8" spans="1:19" ht="82.5" customHeight="1" x14ac:dyDescent="0.25">
      <c r="A8" s="1" t="s">
        <v>19</v>
      </c>
      <c r="B8" s="1" t="s">
        <v>20</v>
      </c>
      <c r="C8" s="2" t="s">
        <v>33</v>
      </c>
      <c r="D8" s="2" t="s">
        <v>34</v>
      </c>
      <c r="E8" s="3">
        <v>4</v>
      </c>
      <c r="F8" s="3">
        <v>3</v>
      </c>
      <c r="G8" s="3">
        <v>4</v>
      </c>
      <c r="H8" s="4">
        <v>4</v>
      </c>
      <c r="I8" s="5">
        <v>219</v>
      </c>
      <c r="J8" s="6">
        <v>109</v>
      </c>
      <c r="K8" s="6">
        <v>109</v>
      </c>
      <c r="L8" s="7" t="str">
        <f>IF(E8&gt;=4,"cumplimiento del indicador","no cumplimiento con el indicador")</f>
        <v>cumplimiento del indicador</v>
      </c>
      <c r="M8" s="7" t="str">
        <f>IF(F8&gt;=4,"cumplimiento del indicador","no cumplimiento con el indicador")</f>
        <v>no cumplimiento con el indicador</v>
      </c>
      <c r="N8" s="7" t="str">
        <f>IF(G8&gt;=4,"cumplimiento del indicador","no cumplimiento con el indicador")</f>
        <v>cumplimiento del indicador</v>
      </c>
      <c r="O8" s="7" t="e">
        <f>IF(#REF!&gt;=4,"cumplimiento del indicador","no cumplimiento con el indicador")</f>
        <v>#REF!</v>
      </c>
      <c r="P8" s="7" t="str">
        <f t="shared" si="0"/>
        <v>Cumplimiento en la evaluación de los indicadores.</v>
      </c>
      <c r="Q8" s="7" t="str">
        <f t="shared" si="1"/>
        <v>No se requiere plan de mejora.</v>
      </c>
      <c r="R8" s="7" t="str">
        <f t="shared" si="2"/>
        <v>Se evidencia cumplimiento en la evaluacion de los indicadores.</v>
      </c>
      <c r="S8" s="1" t="s">
        <v>20</v>
      </c>
    </row>
    <row r="9" spans="1:19" ht="82.5" customHeight="1" x14ac:dyDescent="0.25">
      <c r="A9" s="1" t="s">
        <v>19</v>
      </c>
      <c r="B9" s="1" t="s">
        <v>20</v>
      </c>
      <c r="C9" s="2" t="s">
        <v>35</v>
      </c>
      <c r="D9" s="2" t="s">
        <v>36</v>
      </c>
      <c r="E9" s="3">
        <v>5</v>
      </c>
      <c r="F9" s="3">
        <v>5</v>
      </c>
      <c r="G9" s="3">
        <v>5</v>
      </c>
      <c r="H9" s="4">
        <v>4</v>
      </c>
      <c r="I9" s="5">
        <v>41</v>
      </c>
      <c r="J9" s="6">
        <v>20</v>
      </c>
      <c r="K9" s="6">
        <v>20</v>
      </c>
      <c r="L9" s="7" t="str">
        <f>IF(E9&gt;=4,"cumplimiento del indicador","no cumplimiento con el indicador")</f>
        <v>cumplimiento del indicador</v>
      </c>
      <c r="M9" s="7" t="str">
        <f>IF(F9&gt;=4,"cumplimiento del indicador","no cumplimiento con el indicador")</f>
        <v>cumplimiento del indicador</v>
      </c>
      <c r="N9" s="7" t="str">
        <f>IF(G9&gt;=4,"cumplimiento del indicador","no cumplimiento con el indicador")</f>
        <v>cumplimiento del indicador</v>
      </c>
      <c r="O9" s="7" t="e">
        <f>IF(#REF!&gt;=4,"cumplimiento del indicador","no cumplimiento con el indicador")</f>
        <v>#REF!</v>
      </c>
      <c r="P9" s="7" t="str">
        <f t="shared" si="0"/>
        <v>Cumplimiento en la evaluación de los indicadores.</v>
      </c>
      <c r="Q9" s="7" t="str">
        <f t="shared" si="1"/>
        <v>No se requiere plan de mejora.</v>
      </c>
      <c r="R9" s="7" t="str">
        <f t="shared" si="2"/>
        <v>Se evidencia cumplimiento en la evaluacion de los indicadores.</v>
      </c>
      <c r="S9" s="1" t="s">
        <v>20</v>
      </c>
    </row>
    <row r="10" spans="1:19" ht="82.5" customHeight="1" x14ac:dyDescent="0.25">
      <c r="A10" s="1" t="s">
        <v>19</v>
      </c>
      <c r="B10" s="1" t="s">
        <v>20</v>
      </c>
      <c r="C10" s="2" t="s">
        <v>37</v>
      </c>
      <c r="D10" s="2" t="s">
        <v>38</v>
      </c>
      <c r="E10" s="3">
        <v>5</v>
      </c>
      <c r="F10" s="3">
        <v>5</v>
      </c>
      <c r="G10" s="3">
        <v>5</v>
      </c>
      <c r="H10" s="4">
        <f>AVERAGE(E10:G10)</f>
        <v>5</v>
      </c>
      <c r="I10" s="5">
        <v>12</v>
      </c>
      <c r="J10" s="6">
        <v>6</v>
      </c>
      <c r="K10" s="6">
        <v>6</v>
      </c>
      <c r="L10" s="7" t="str">
        <f>IF(E10&gt;=4,"cumplimiento del indicador","no cumplimiento con el indicador")</f>
        <v>cumplimiento del indicador</v>
      </c>
      <c r="M10" s="7" t="str">
        <f>IF(F10&gt;=4,"cumplimiento del indicador","no cumplimiento con el indicador")</f>
        <v>cumplimiento del indicador</v>
      </c>
      <c r="N10" s="7" t="str">
        <f>IF(G10&gt;=4,"cumplimiento del indicador","no cumplimiento con el indicador")</f>
        <v>cumplimiento del indicador</v>
      </c>
      <c r="O10" s="7" t="e">
        <f>IF(#REF!&gt;=4,"cumplimiento del indicador","no cumplimiento con el indicador")</f>
        <v>#REF!</v>
      </c>
      <c r="P10" s="7" t="str">
        <f t="shared" si="0"/>
        <v>Cumplimiento en la evaluación de los indicadores.</v>
      </c>
      <c r="Q10" s="7" t="str">
        <f t="shared" si="1"/>
        <v>No se requiere plan de mejora.</v>
      </c>
      <c r="R10" s="7" t="str">
        <f t="shared" si="2"/>
        <v>Se evidencia cumplimiento en la evaluacion de los indicadores.</v>
      </c>
      <c r="S10" s="1" t="s">
        <v>20</v>
      </c>
    </row>
    <row r="11" spans="1:19" ht="82.5" customHeight="1" x14ac:dyDescent="0.25">
      <c r="A11" s="1" t="s">
        <v>19</v>
      </c>
      <c r="B11" s="1" t="s">
        <v>20</v>
      </c>
      <c r="C11" s="2" t="s">
        <v>39</v>
      </c>
      <c r="D11" s="2" t="s">
        <v>40</v>
      </c>
      <c r="E11" s="3">
        <v>5</v>
      </c>
      <c r="F11" s="3">
        <v>5</v>
      </c>
      <c r="G11" s="3">
        <v>5</v>
      </c>
      <c r="H11" s="4">
        <f>AVERAGE(E11:G11)</f>
        <v>5</v>
      </c>
      <c r="I11" s="5">
        <v>41</v>
      </c>
      <c r="J11" s="6">
        <v>20</v>
      </c>
      <c r="K11" s="6">
        <v>20</v>
      </c>
      <c r="L11" s="7" t="str">
        <f>IF(E11&gt;=4,"cumplimiento del indicador","no cumplimiento con el indicador")</f>
        <v>cumplimiento del indicador</v>
      </c>
      <c r="M11" s="7" t="str">
        <f>IF(F11&gt;=4,"cumplimiento del indicador","no cumplimiento con el indicador")</f>
        <v>cumplimiento del indicador</v>
      </c>
      <c r="N11" s="7" t="str">
        <f>IF(G11&gt;=4,"cumplimiento del indicador","no cumplimiento con el indicador")</f>
        <v>cumplimiento del indicador</v>
      </c>
      <c r="O11" s="7" t="e">
        <f>IF(#REF!&gt;=4,"cumplimiento del indicador","no cumplimiento con el indicador")</f>
        <v>#REF!</v>
      </c>
      <c r="P11" s="7" t="str">
        <f t="shared" si="0"/>
        <v>Cumplimiento en la evaluación de los indicadores.</v>
      </c>
      <c r="Q11" s="7" t="str">
        <f t="shared" si="1"/>
        <v>No se requiere plan de mejora.</v>
      </c>
      <c r="R11" s="7" t="str">
        <f t="shared" si="2"/>
        <v>Se evidencia cumplimiento en la evaluacion de los indicadores.</v>
      </c>
      <c r="S11" s="1" t="s">
        <v>20</v>
      </c>
    </row>
    <row r="12" spans="1:19" ht="18.75" customHeight="1" x14ac:dyDescent="0.25">
      <c r="A12" s="1" t="s">
        <v>19</v>
      </c>
      <c r="B12" s="1" t="s">
        <v>20</v>
      </c>
      <c r="C12" s="2" t="s">
        <v>41</v>
      </c>
      <c r="D12" s="2" t="s">
        <v>42</v>
      </c>
      <c r="E12" s="3">
        <v>5</v>
      </c>
      <c r="F12" s="3">
        <v>5</v>
      </c>
      <c r="G12" s="3">
        <v>5</v>
      </c>
      <c r="H12" s="4">
        <v>4</v>
      </c>
      <c r="I12" s="5">
        <v>21</v>
      </c>
      <c r="J12" s="6">
        <v>10</v>
      </c>
      <c r="K12" s="6">
        <v>10</v>
      </c>
      <c r="L12" s="7" t="str">
        <f>IF(E12&gt;=4,"cumplimiento del indicador","no cumplimiento con el indicador")</f>
        <v>cumplimiento del indicador</v>
      </c>
      <c r="M12" s="7" t="str">
        <f>IF(F12&gt;=4,"cumplimiento del indicador","no cumplimiento con el indicador")</f>
        <v>cumplimiento del indicador</v>
      </c>
      <c r="N12" s="7" t="str">
        <f>IF(G12&gt;=4,"cumplimiento del indicador","no cumplimiento con el indicador")</f>
        <v>cumplimiento del indicador</v>
      </c>
      <c r="O12" s="7" t="e">
        <f>IF(#REF!&gt;=4,"cumplimiento del indicador","no cumplimiento con el indicador")</f>
        <v>#REF!</v>
      </c>
      <c r="P12" s="7" t="str">
        <f t="shared" si="0"/>
        <v>Cumplimiento en la evaluación de los indicadores.</v>
      </c>
      <c r="Q12" s="7" t="str">
        <f t="shared" si="1"/>
        <v>No se requiere plan de mejora.</v>
      </c>
      <c r="R12" s="7" t="str">
        <f t="shared" si="2"/>
        <v>Se evidencia cumplimiento en la evaluacion de los indicadores.</v>
      </c>
      <c r="S12" s="1" t="s">
        <v>20</v>
      </c>
    </row>
    <row r="13" spans="1:19" ht="18.75" customHeight="1" x14ac:dyDescent="0.25">
      <c r="A13" s="1" t="s">
        <v>19</v>
      </c>
      <c r="B13" s="1" t="s">
        <v>20</v>
      </c>
      <c r="C13" s="2" t="s">
        <v>43</v>
      </c>
      <c r="D13" s="2" t="s">
        <v>44</v>
      </c>
      <c r="E13" s="3">
        <v>5</v>
      </c>
      <c r="F13" s="3">
        <v>5</v>
      </c>
      <c r="G13" s="3">
        <v>5</v>
      </c>
      <c r="H13" s="4">
        <f>AVERAGE(E13:G13)</f>
        <v>5</v>
      </c>
      <c r="I13" s="5">
        <v>214</v>
      </c>
      <c r="J13" s="6">
        <v>107</v>
      </c>
      <c r="K13" s="6">
        <v>107</v>
      </c>
      <c r="L13" s="7" t="str">
        <f>IF(E13&gt;=4,"cumplimiento del indicador","no cumplimiento con el indicador")</f>
        <v>cumplimiento del indicador</v>
      </c>
      <c r="M13" s="7" t="str">
        <f>IF(F13&gt;=4,"cumplimiento del indicador","no cumplimiento con el indicador")</f>
        <v>cumplimiento del indicador</v>
      </c>
      <c r="N13" s="7" t="str">
        <f>IF(G13&gt;=4,"cumplimiento del indicador","no cumplimiento con el indicador")</f>
        <v>cumplimiento del indicador</v>
      </c>
      <c r="O13" s="7" t="e">
        <f>IF(#REF!&gt;=4,"cumplimiento del indicador","no cumplimiento con el indicador")</f>
        <v>#REF!</v>
      </c>
      <c r="P13" s="7" t="str">
        <f t="shared" si="0"/>
        <v>Cumplimiento en la evaluación de los indicadores.</v>
      </c>
      <c r="Q13" s="7" t="str">
        <f t="shared" si="1"/>
        <v>No se requiere plan de mejora.</v>
      </c>
      <c r="R13" s="7" t="str">
        <f t="shared" si="2"/>
        <v>Se evidencia cumplimiento en la evaluacion de los indicadores.</v>
      </c>
      <c r="S13" s="1" t="s">
        <v>20</v>
      </c>
    </row>
    <row r="14" spans="1:19" ht="18.75" customHeight="1" x14ac:dyDescent="0.25">
      <c r="A14" s="1" t="s">
        <v>19</v>
      </c>
      <c r="B14" s="1" t="s">
        <v>20</v>
      </c>
      <c r="C14" s="2" t="s">
        <v>45</v>
      </c>
      <c r="D14" s="2" t="s">
        <v>46</v>
      </c>
      <c r="E14" s="3">
        <v>4</v>
      </c>
      <c r="F14" s="3">
        <v>4</v>
      </c>
      <c r="G14" s="3">
        <v>4</v>
      </c>
      <c r="H14" s="4">
        <v>4</v>
      </c>
      <c r="I14" s="5">
        <v>36</v>
      </c>
      <c r="J14" s="6">
        <v>18</v>
      </c>
      <c r="K14" s="6">
        <v>18</v>
      </c>
      <c r="L14" s="7" t="str">
        <f>IF(E14&gt;=4,"cumplimiento del indicador","no cumplimiento con el indicador")</f>
        <v>cumplimiento del indicador</v>
      </c>
      <c r="M14" s="7" t="str">
        <f>IF(F14&gt;=4,"cumplimiento del indicador","no cumplimiento con el indicador")</f>
        <v>cumplimiento del indicador</v>
      </c>
      <c r="N14" s="7" t="str">
        <f>IF(G14&gt;=4,"cumplimiento del indicador","no cumplimiento con el indicador")</f>
        <v>cumplimiento del indicador</v>
      </c>
      <c r="O14" s="7" t="e">
        <f>IF(#REF!&gt;=4,"cumplimiento del indicador","no cumplimiento con el indicador")</f>
        <v>#REF!</v>
      </c>
      <c r="P14" s="7" t="str">
        <f t="shared" si="0"/>
        <v>Cumplimiento en la evaluación de los indicadores.</v>
      </c>
      <c r="Q14" s="7" t="str">
        <f t="shared" si="1"/>
        <v>No se requiere plan de mejora.</v>
      </c>
      <c r="R14" s="7" t="str">
        <f t="shared" si="2"/>
        <v>Se evidencia cumplimiento en la evaluacion de los indicadores.</v>
      </c>
      <c r="S14" s="1" t="s">
        <v>20</v>
      </c>
    </row>
    <row r="15" spans="1:19" ht="18.75" customHeight="1" x14ac:dyDescent="0.25">
      <c r="A15" s="1" t="s">
        <v>19</v>
      </c>
      <c r="B15" s="1" t="s">
        <v>20</v>
      </c>
      <c r="C15" s="2" t="s">
        <v>47</v>
      </c>
      <c r="D15" s="2" t="s">
        <v>48</v>
      </c>
      <c r="E15" s="3">
        <v>5</v>
      </c>
      <c r="F15" s="3">
        <v>5</v>
      </c>
      <c r="G15" s="3">
        <v>5</v>
      </c>
      <c r="H15" s="4">
        <f>AVERAGE(E15:G15)</f>
        <v>5</v>
      </c>
      <c r="I15" s="5">
        <v>163</v>
      </c>
      <c r="J15" s="6">
        <v>81</v>
      </c>
      <c r="K15" s="6">
        <v>81</v>
      </c>
      <c r="L15" s="7" t="str">
        <f>IF(E15&gt;=4,"cumplimiento del indicador","no cumplimiento con el indicador")</f>
        <v>cumplimiento del indicador</v>
      </c>
      <c r="M15" s="7" t="str">
        <f>IF(F15&gt;=4,"cumplimiento del indicador","no cumplimiento con el indicador")</f>
        <v>cumplimiento del indicador</v>
      </c>
      <c r="N15" s="7" t="str">
        <f>IF(G15&gt;=4,"cumplimiento del indicador","no cumplimiento con el indicador")</f>
        <v>cumplimiento del indicador</v>
      </c>
      <c r="O15" s="7" t="e">
        <f>IF(#REF!&gt;=4,"cumplimiento del indicador","no cumplimiento con el indicador")</f>
        <v>#REF!</v>
      </c>
      <c r="P15" s="7" t="str">
        <f t="shared" si="0"/>
        <v>Cumplimiento en la evaluación de los indicadores.</v>
      </c>
      <c r="Q15" s="7" t="str">
        <f t="shared" si="1"/>
        <v>No se requiere plan de mejora.</v>
      </c>
      <c r="R15" s="7" t="str">
        <f t="shared" si="2"/>
        <v>Se evidencia cumplimiento en la evaluacion de los indicadores.</v>
      </c>
      <c r="S15" s="1" t="s">
        <v>20</v>
      </c>
    </row>
    <row r="16" spans="1:19" ht="18.75" customHeight="1" x14ac:dyDescent="0.25">
      <c r="A16" s="1" t="s">
        <v>19</v>
      </c>
      <c r="B16" s="1" t="s">
        <v>20</v>
      </c>
      <c r="C16" s="2" t="s">
        <v>49</v>
      </c>
      <c r="D16" s="2" t="s">
        <v>50</v>
      </c>
      <c r="E16" s="3">
        <v>4</v>
      </c>
      <c r="F16" s="3">
        <v>4</v>
      </c>
      <c r="G16" s="3">
        <v>4</v>
      </c>
      <c r="H16" s="4">
        <v>4</v>
      </c>
      <c r="I16" s="5">
        <v>131</v>
      </c>
      <c r="J16" s="6">
        <v>65</v>
      </c>
      <c r="K16" s="6">
        <v>65</v>
      </c>
      <c r="L16" s="7" t="str">
        <f>IF(E16&gt;=4,"cumplimiento del indicador","no cumplimiento con el indicador")</f>
        <v>cumplimiento del indicador</v>
      </c>
      <c r="M16" s="7" t="str">
        <f>IF(F16&gt;=4,"cumplimiento del indicador","no cumplimiento con el indicador")</f>
        <v>cumplimiento del indicador</v>
      </c>
      <c r="N16" s="7" t="str">
        <f>IF(G16&gt;=4,"cumplimiento del indicador","no cumplimiento con el indicador")</f>
        <v>cumplimiento del indicador</v>
      </c>
      <c r="O16" s="7" t="e">
        <f>IF(#REF!&gt;=4,"cumplimiento del indicador","no cumplimiento con el indicador")</f>
        <v>#REF!</v>
      </c>
      <c r="P16" s="7" t="str">
        <f t="shared" si="0"/>
        <v>Cumplimiento en la evaluación de los indicadores.</v>
      </c>
      <c r="Q16" s="7" t="str">
        <f t="shared" si="1"/>
        <v>No se requiere plan de mejora.</v>
      </c>
      <c r="R16" s="7" t="str">
        <f t="shared" si="2"/>
        <v>Se evidencia cumplimiento en la evaluacion de los indicadores.</v>
      </c>
      <c r="S16" s="1" t="s">
        <v>20</v>
      </c>
    </row>
    <row r="17" spans="1:19" ht="18.75" customHeight="1" x14ac:dyDescent="0.25">
      <c r="A17" s="1" t="s">
        <v>19</v>
      </c>
      <c r="B17" s="1" t="s">
        <v>20</v>
      </c>
      <c r="C17" s="2" t="s">
        <v>51</v>
      </c>
      <c r="D17" s="2" t="s">
        <v>52</v>
      </c>
      <c r="E17" s="3">
        <v>5</v>
      </c>
      <c r="F17" s="3">
        <v>5</v>
      </c>
      <c r="G17" s="3">
        <v>5</v>
      </c>
      <c r="H17" s="4">
        <f>AVERAGE(E17:G17)</f>
        <v>5</v>
      </c>
      <c r="I17" s="5">
        <v>28</v>
      </c>
      <c r="J17" s="6">
        <v>14</v>
      </c>
      <c r="K17" s="6">
        <v>14</v>
      </c>
      <c r="L17" s="7" t="str">
        <f>IF(E17&gt;=4,"cumplimiento del indicador","no cumplimiento con el indicador")</f>
        <v>cumplimiento del indicador</v>
      </c>
      <c r="M17" s="7" t="str">
        <f>IF(F17&gt;=4,"cumplimiento del indicador","no cumplimiento con el indicador")</f>
        <v>cumplimiento del indicador</v>
      </c>
      <c r="N17" s="7" t="str">
        <f>IF(G17&gt;=4,"cumplimiento del indicador","no cumplimiento con el indicador")</f>
        <v>cumplimiento del indicador</v>
      </c>
      <c r="O17" s="7" t="e">
        <f>IF(#REF!&gt;=4,"cumplimiento del indicador","no cumplimiento con el indicador")</f>
        <v>#REF!</v>
      </c>
      <c r="P17" s="7" t="str">
        <f t="shared" si="0"/>
        <v>Cumplimiento en la evaluación de los indicadores.</v>
      </c>
      <c r="Q17" s="7" t="str">
        <f t="shared" si="1"/>
        <v>No se requiere plan de mejora.</v>
      </c>
      <c r="R17" s="7" t="str">
        <f t="shared" si="2"/>
        <v>Se evidencia cumplimiento en la evaluacion de los indicadores.</v>
      </c>
      <c r="S17" s="1" t="s">
        <v>20</v>
      </c>
    </row>
    <row r="18" spans="1:19" ht="18.75" customHeight="1" x14ac:dyDescent="0.25">
      <c r="A18" s="1" t="s">
        <v>19</v>
      </c>
      <c r="B18" s="1" t="s">
        <v>20</v>
      </c>
      <c r="C18" s="2" t="s">
        <v>53</v>
      </c>
      <c r="D18" s="2" t="s">
        <v>54</v>
      </c>
      <c r="E18" s="3">
        <v>5</v>
      </c>
      <c r="F18" s="3">
        <v>5</v>
      </c>
      <c r="G18" s="3">
        <v>5</v>
      </c>
      <c r="H18" s="4">
        <f>AVERAGE(E18:G18)</f>
        <v>5</v>
      </c>
      <c r="I18" s="5">
        <v>53</v>
      </c>
      <c r="J18" s="6">
        <v>26</v>
      </c>
      <c r="K18" s="6">
        <v>26</v>
      </c>
      <c r="L18" s="7" t="str">
        <f>IF(E18&gt;=4,"cumplimiento del indicador","no cumplimiento con el indicador")</f>
        <v>cumplimiento del indicador</v>
      </c>
      <c r="M18" s="7" t="str">
        <f>IF(F18&gt;=4,"cumplimiento del indicador","no cumplimiento con el indicador")</f>
        <v>cumplimiento del indicador</v>
      </c>
      <c r="N18" s="7" t="str">
        <f>IF(G18&gt;=4,"cumplimiento del indicador","no cumplimiento con el indicador")</f>
        <v>cumplimiento del indicador</v>
      </c>
      <c r="O18" s="7" t="e">
        <f>IF(#REF!&gt;=4,"cumplimiento del indicador","no cumplimiento con el indicador")</f>
        <v>#REF!</v>
      </c>
      <c r="P18" s="7" t="str">
        <f t="shared" si="0"/>
        <v>Cumplimiento en la evaluación de los indicadores.</v>
      </c>
      <c r="Q18" s="7" t="str">
        <f t="shared" si="1"/>
        <v>No se requiere plan de mejora.</v>
      </c>
      <c r="R18" s="7" t="str">
        <f t="shared" si="2"/>
        <v>Se evidencia cumplimiento en la evaluacion de los indicadores.</v>
      </c>
      <c r="S18" s="1" t="s">
        <v>20</v>
      </c>
    </row>
    <row r="19" spans="1:19" ht="18.75" customHeight="1" x14ac:dyDescent="0.25">
      <c r="A19" s="1" t="s">
        <v>19</v>
      </c>
      <c r="B19" s="1" t="s">
        <v>20</v>
      </c>
      <c r="C19" s="2" t="s">
        <v>55</v>
      </c>
      <c r="D19" s="2" t="s">
        <v>56</v>
      </c>
      <c r="E19" s="3">
        <v>5</v>
      </c>
      <c r="F19" s="3">
        <v>5</v>
      </c>
      <c r="G19" s="3">
        <v>5</v>
      </c>
      <c r="H19" s="4">
        <f>AVERAGE(E19:G19)</f>
        <v>5</v>
      </c>
      <c r="I19" s="5">
        <v>135</v>
      </c>
      <c r="J19" s="6">
        <v>67</v>
      </c>
      <c r="K19" s="6">
        <v>67</v>
      </c>
      <c r="L19" s="7" t="str">
        <f>IF(E19&gt;=4,"cumplimiento del indicador","no cumplimiento con el indicador")</f>
        <v>cumplimiento del indicador</v>
      </c>
      <c r="M19" s="7" t="str">
        <f>IF(F19&gt;=4,"cumplimiento del indicador","no cumplimiento con el indicador")</f>
        <v>cumplimiento del indicador</v>
      </c>
      <c r="N19" s="7" t="str">
        <f>IF(G19&gt;=4,"cumplimiento del indicador","no cumplimiento con el indicador")</f>
        <v>cumplimiento del indicador</v>
      </c>
      <c r="O19" s="7" t="e">
        <f>IF(#REF!&gt;=4,"cumplimiento del indicador","no cumplimiento con el indicador")</f>
        <v>#REF!</v>
      </c>
      <c r="P19" s="7" t="str">
        <f t="shared" si="0"/>
        <v>Cumplimiento en la evaluación de los indicadores.</v>
      </c>
      <c r="Q19" s="7" t="str">
        <f t="shared" si="1"/>
        <v>No se requiere plan de mejora.</v>
      </c>
      <c r="R19" s="7" t="str">
        <f t="shared" si="2"/>
        <v>Se evidencia cumplimiento en la evaluacion de los indicadores.</v>
      </c>
      <c r="S19" s="1" t="s">
        <v>20</v>
      </c>
    </row>
    <row r="20" spans="1:19" ht="18.75" customHeight="1" x14ac:dyDescent="0.25">
      <c r="A20" s="1" t="s">
        <v>19</v>
      </c>
      <c r="B20" s="1" t="s">
        <v>20</v>
      </c>
      <c r="C20" s="2" t="s">
        <v>57</v>
      </c>
      <c r="D20" s="2" t="s">
        <v>58</v>
      </c>
      <c r="E20" s="3">
        <v>4</v>
      </c>
      <c r="F20" s="3">
        <v>4</v>
      </c>
      <c r="G20" s="3">
        <v>4</v>
      </c>
      <c r="H20" s="4">
        <v>4</v>
      </c>
      <c r="I20" s="5">
        <v>121</v>
      </c>
      <c r="J20" s="6">
        <v>60</v>
      </c>
      <c r="K20" s="6">
        <v>60</v>
      </c>
      <c r="L20" s="7" t="str">
        <f>IF(E20&gt;=4,"cumplimiento del indicador","no cumplimiento con el indicador")</f>
        <v>cumplimiento del indicador</v>
      </c>
      <c r="M20" s="7" t="str">
        <f>IF(F20&gt;=4,"cumplimiento del indicador","no cumplimiento con el indicador")</f>
        <v>cumplimiento del indicador</v>
      </c>
      <c r="N20" s="7" t="str">
        <f>IF(G20&gt;=4,"cumplimiento del indicador","no cumplimiento con el indicador")</f>
        <v>cumplimiento del indicador</v>
      </c>
      <c r="O20" s="7" t="e">
        <f>IF(#REF!&gt;=4,"cumplimiento del indicador","no cumplimiento con el indicador")</f>
        <v>#REF!</v>
      </c>
      <c r="P20" s="7" t="str">
        <f t="shared" si="0"/>
        <v>Cumplimiento en la evaluación de los indicadores.</v>
      </c>
      <c r="Q20" s="7" t="str">
        <f t="shared" si="1"/>
        <v>No se requiere plan de mejora.</v>
      </c>
      <c r="R20" s="7" t="str">
        <f t="shared" si="2"/>
        <v>Se evidencia cumplimiento en la evaluacion de los indicadores.</v>
      </c>
      <c r="S20" s="1" t="s">
        <v>20</v>
      </c>
    </row>
    <row r="21" spans="1:19" ht="18.75" customHeight="1" x14ac:dyDescent="0.25">
      <c r="A21" s="1" t="s">
        <v>19</v>
      </c>
      <c r="B21" s="1" t="s">
        <v>20</v>
      </c>
      <c r="C21" s="2" t="s">
        <v>59</v>
      </c>
      <c r="D21" s="2" t="s">
        <v>60</v>
      </c>
      <c r="E21" s="3">
        <v>5</v>
      </c>
      <c r="F21" s="3">
        <v>5</v>
      </c>
      <c r="G21" s="3">
        <v>5</v>
      </c>
      <c r="H21" s="4">
        <v>4</v>
      </c>
      <c r="I21" s="5">
        <v>125</v>
      </c>
      <c r="J21" s="6">
        <v>62</v>
      </c>
      <c r="K21" s="6">
        <v>62</v>
      </c>
      <c r="L21" s="7" t="str">
        <f>IF(E21&gt;=4,"cumplimiento del indicador","no cumplimiento con el indicador")</f>
        <v>cumplimiento del indicador</v>
      </c>
      <c r="M21" s="7" t="str">
        <f>IF(F21&gt;=4,"cumplimiento del indicador","no cumplimiento con el indicador")</f>
        <v>cumplimiento del indicador</v>
      </c>
      <c r="N21" s="7" t="str">
        <f>IF(G21&gt;=4,"cumplimiento del indicador","no cumplimiento con el indicador")</f>
        <v>cumplimiento del indicador</v>
      </c>
      <c r="O21" s="7" t="e">
        <f>IF(#REF!&gt;=4,"cumplimiento del indicador","no cumplimiento con el indicador")</f>
        <v>#REF!</v>
      </c>
      <c r="P21" s="7" t="str">
        <f t="shared" si="0"/>
        <v>Cumplimiento en la evaluación de los indicadores.</v>
      </c>
      <c r="Q21" s="7" t="str">
        <f t="shared" si="1"/>
        <v>No se requiere plan de mejora.</v>
      </c>
      <c r="R21" s="7" t="str">
        <f t="shared" si="2"/>
        <v>Se evidencia cumplimiento en la evaluacion de los indicadores.</v>
      </c>
      <c r="S21" s="1" t="s">
        <v>20</v>
      </c>
    </row>
    <row r="22" spans="1:19" ht="18.75" customHeight="1" x14ac:dyDescent="0.25">
      <c r="A22" s="1" t="s">
        <v>19</v>
      </c>
      <c r="B22" s="1" t="s">
        <v>20</v>
      </c>
      <c r="C22" s="2" t="s">
        <v>61</v>
      </c>
      <c r="D22" s="2" t="s">
        <v>62</v>
      </c>
      <c r="E22" s="3">
        <v>5</v>
      </c>
      <c r="F22" s="3">
        <v>5</v>
      </c>
      <c r="G22" s="3">
        <v>5</v>
      </c>
      <c r="H22" s="4">
        <v>4</v>
      </c>
      <c r="I22" s="5">
        <v>288</v>
      </c>
      <c r="J22" s="6">
        <v>144</v>
      </c>
      <c r="K22" s="6">
        <v>144</v>
      </c>
      <c r="L22" s="7" t="str">
        <f>IF(E22&gt;=4,"cumplimiento del indicador","no cumplimiento con el indicador")</f>
        <v>cumplimiento del indicador</v>
      </c>
      <c r="M22" s="7" t="str">
        <f>IF(F22&gt;=4,"cumplimiento del indicador","no cumplimiento con el indicador")</f>
        <v>cumplimiento del indicador</v>
      </c>
      <c r="N22" s="7" t="str">
        <f>IF(G22&gt;=4,"cumplimiento del indicador","no cumplimiento con el indicador")</f>
        <v>cumplimiento del indicador</v>
      </c>
      <c r="O22" s="7" t="e">
        <f>IF(#REF!&gt;=4,"cumplimiento del indicador","no cumplimiento con el indicador")</f>
        <v>#REF!</v>
      </c>
      <c r="P22" s="7" t="str">
        <f t="shared" si="0"/>
        <v>Cumplimiento en la evaluación de los indicadores.</v>
      </c>
      <c r="Q22" s="7" t="str">
        <f t="shared" si="1"/>
        <v>No se requiere plan de mejora.</v>
      </c>
      <c r="R22" s="7" t="str">
        <f t="shared" si="2"/>
        <v>Se evidencia cumplimiento en la evaluacion de los indicadores.</v>
      </c>
      <c r="S22" s="1" t="s">
        <v>20</v>
      </c>
    </row>
    <row r="23" spans="1:19" ht="18.75" customHeight="1" x14ac:dyDescent="0.25">
      <c r="A23" s="1" t="s">
        <v>19</v>
      </c>
      <c r="B23" s="1" t="s">
        <v>20</v>
      </c>
      <c r="C23" s="2" t="s">
        <v>63</v>
      </c>
      <c r="D23" s="2" t="s">
        <v>64</v>
      </c>
      <c r="E23" s="3">
        <v>4</v>
      </c>
      <c r="F23" s="3">
        <v>4</v>
      </c>
      <c r="G23" s="3">
        <v>4</v>
      </c>
      <c r="H23" s="4">
        <v>4</v>
      </c>
      <c r="I23" s="5">
        <v>53</v>
      </c>
      <c r="J23" s="6">
        <v>26</v>
      </c>
      <c r="K23" s="6">
        <v>26</v>
      </c>
      <c r="L23" s="7" t="str">
        <f>IF(E23&gt;=4,"cumplimiento del indicador","no cumplimiento con el indicador")</f>
        <v>cumplimiento del indicador</v>
      </c>
      <c r="M23" s="7" t="str">
        <f>IF(F23&gt;=4,"cumplimiento del indicador","no cumplimiento con el indicador")</f>
        <v>cumplimiento del indicador</v>
      </c>
      <c r="N23" s="7" t="str">
        <f>IF(G23&gt;=4,"cumplimiento del indicador","no cumplimiento con el indicador")</f>
        <v>cumplimiento del indicador</v>
      </c>
      <c r="O23" s="7" t="e">
        <f>IF(#REF!&gt;=4,"cumplimiento del indicador","no cumplimiento con el indicador")</f>
        <v>#REF!</v>
      </c>
      <c r="P23" s="7" t="str">
        <f t="shared" si="0"/>
        <v>Cumplimiento en la evaluación de los indicadores.</v>
      </c>
      <c r="Q23" s="7" t="str">
        <f t="shared" si="1"/>
        <v>No se requiere plan de mejora.</v>
      </c>
      <c r="R23" s="7" t="str">
        <f t="shared" si="2"/>
        <v>Se evidencia cumplimiento en la evaluacion de los indicadores.</v>
      </c>
      <c r="S23" s="1" t="s">
        <v>20</v>
      </c>
    </row>
    <row r="24" spans="1:19" ht="18.75" customHeight="1" x14ac:dyDescent="0.25">
      <c r="A24" s="1" t="s">
        <v>19</v>
      </c>
      <c r="B24" s="1" t="s">
        <v>20</v>
      </c>
      <c r="C24" s="2" t="s">
        <v>65</v>
      </c>
      <c r="D24" s="2" t="s">
        <v>66</v>
      </c>
      <c r="E24" s="3">
        <v>5</v>
      </c>
      <c r="F24" s="3">
        <v>5</v>
      </c>
      <c r="G24" s="3">
        <v>5</v>
      </c>
      <c r="H24" s="4">
        <f>AVERAGE(E24:G24)</f>
        <v>5</v>
      </c>
      <c r="I24" s="5">
        <v>30</v>
      </c>
      <c r="J24" s="6">
        <v>15</v>
      </c>
      <c r="K24" s="6">
        <v>15</v>
      </c>
      <c r="L24" s="7" t="str">
        <f>IF(E24&gt;=4,"cumplimiento del indicador","no cumplimiento con el indicador")</f>
        <v>cumplimiento del indicador</v>
      </c>
      <c r="M24" s="7" t="str">
        <f>IF(F24&gt;=4,"cumplimiento del indicador","no cumplimiento con el indicador")</f>
        <v>cumplimiento del indicador</v>
      </c>
      <c r="N24" s="7" t="str">
        <f>IF(G24&gt;=4,"cumplimiento del indicador","no cumplimiento con el indicador")</f>
        <v>cumplimiento del indicador</v>
      </c>
      <c r="O24" s="7" t="e">
        <f>IF(#REF!&gt;=4,"cumplimiento del indicador","no cumplimiento con el indicador")</f>
        <v>#REF!</v>
      </c>
      <c r="P24" s="7" t="str">
        <f t="shared" si="0"/>
        <v>Cumplimiento en la evaluación de los indicadores.</v>
      </c>
      <c r="Q24" s="7" t="str">
        <f t="shared" si="1"/>
        <v>No se requiere plan de mejora.</v>
      </c>
      <c r="R24" s="7" t="str">
        <f t="shared" si="2"/>
        <v>Se evidencia cumplimiento en la evaluacion de los indicadores.</v>
      </c>
      <c r="S24" s="1" t="s">
        <v>20</v>
      </c>
    </row>
    <row r="25" spans="1:19" ht="18.75" customHeight="1" x14ac:dyDescent="0.25">
      <c r="A25" s="1" t="s">
        <v>19</v>
      </c>
      <c r="B25" s="1" t="s">
        <v>20</v>
      </c>
      <c r="C25" s="2" t="s">
        <v>67</v>
      </c>
      <c r="D25" s="2" t="s">
        <v>68</v>
      </c>
      <c r="E25" s="3">
        <v>5</v>
      </c>
      <c r="F25" s="3">
        <v>5</v>
      </c>
      <c r="G25" s="3">
        <v>5</v>
      </c>
      <c r="H25" s="4">
        <v>4</v>
      </c>
      <c r="I25" s="5">
        <v>421</v>
      </c>
      <c r="J25" s="6">
        <v>210</v>
      </c>
      <c r="K25" s="6">
        <v>210</v>
      </c>
      <c r="L25" s="7" t="str">
        <f>IF(E25&gt;=4,"cumplimiento del indicador","no cumplimiento con el indicador")</f>
        <v>cumplimiento del indicador</v>
      </c>
      <c r="M25" s="7" t="str">
        <f>IF(F25&gt;=4,"cumplimiento del indicador","no cumplimiento con el indicador")</f>
        <v>cumplimiento del indicador</v>
      </c>
      <c r="N25" s="7" t="str">
        <f>IF(G25&gt;=4,"cumplimiento del indicador","no cumplimiento con el indicador")</f>
        <v>cumplimiento del indicador</v>
      </c>
      <c r="O25" s="7" t="e">
        <f>IF(#REF!&gt;=4,"cumplimiento del indicador","no cumplimiento con el indicador")</f>
        <v>#REF!</v>
      </c>
      <c r="P25" s="7" t="str">
        <f t="shared" si="0"/>
        <v>Cumplimiento en la evaluación de los indicadores.</v>
      </c>
      <c r="Q25" s="7" t="str">
        <f t="shared" si="1"/>
        <v>No se requiere plan de mejora.</v>
      </c>
      <c r="R25" s="7" t="str">
        <f t="shared" si="2"/>
        <v>Se evidencia cumplimiento en la evaluacion de los indicadores.</v>
      </c>
      <c r="S25" s="1" t="s">
        <v>20</v>
      </c>
    </row>
    <row r="26" spans="1:19" ht="18.75" customHeight="1" x14ac:dyDescent="0.25">
      <c r="A26" s="1" t="s">
        <v>19</v>
      </c>
      <c r="B26" s="1" t="s">
        <v>20</v>
      </c>
      <c r="C26" s="2" t="s">
        <v>69</v>
      </c>
      <c r="D26" s="2" t="s">
        <v>70</v>
      </c>
      <c r="E26" s="3">
        <v>5</v>
      </c>
      <c r="F26" s="3">
        <v>5</v>
      </c>
      <c r="G26" s="3">
        <v>5</v>
      </c>
      <c r="H26" s="4">
        <f>AVERAGE(E26:G26)</f>
        <v>5</v>
      </c>
      <c r="I26" s="5">
        <v>124</v>
      </c>
      <c r="J26" s="6">
        <v>62</v>
      </c>
      <c r="K26" s="6">
        <v>62</v>
      </c>
      <c r="L26" s="7" t="str">
        <f>IF(E26&gt;=4,"cumplimiento del indicador","no cumplimiento con el indicador")</f>
        <v>cumplimiento del indicador</v>
      </c>
      <c r="M26" s="7" t="str">
        <f>IF(F26&gt;=4,"cumplimiento del indicador","no cumplimiento con el indicador")</f>
        <v>cumplimiento del indicador</v>
      </c>
      <c r="N26" s="7" t="str">
        <f>IF(G26&gt;=4,"cumplimiento del indicador","no cumplimiento con el indicador")</f>
        <v>cumplimiento del indicador</v>
      </c>
      <c r="O26" s="7" t="e">
        <f>IF(#REF!&gt;=4,"cumplimiento del indicador","no cumplimiento con el indicador")</f>
        <v>#REF!</v>
      </c>
      <c r="P26" s="7" t="str">
        <f t="shared" si="0"/>
        <v>Cumplimiento en la evaluación de los indicadores.</v>
      </c>
      <c r="Q26" s="7" t="str">
        <f t="shared" si="1"/>
        <v>No se requiere plan de mejora.</v>
      </c>
      <c r="R26" s="7" t="str">
        <f t="shared" si="2"/>
        <v>Se evidencia cumplimiento en la evaluacion de los indicadores.</v>
      </c>
      <c r="S26" s="1" t="s">
        <v>20</v>
      </c>
    </row>
    <row r="27" spans="1:19" ht="18.75" customHeight="1" x14ac:dyDescent="0.25">
      <c r="A27" s="1" t="s">
        <v>19</v>
      </c>
      <c r="B27" s="1" t="s">
        <v>20</v>
      </c>
      <c r="C27" s="2" t="s">
        <v>71</v>
      </c>
      <c r="D27" s="2" t="s">
        <v>72</v>
      </c>
      <c r="E27" s="3">
        <v>4</v>
      </c>
      <c r="F27" s="3">
        <v>4</v>
      </c>
      <c r="G27" s="3">
        <v>4</v>
      </c>
      <c r="H27" s="4">
        <v>4</v>
      </c>
      <c r="I27" s="5">
        <v>254</v>
      </c>
      <c r="J27" s="6">
        <v>127</v>
      </c>
      <c r="K27" s="6">
        <v>127</v>
      </c>
      <c r="L27" s="7" t="str">
        <f>IF(E27&gt;=4,"cumplimiento del indicador","no cumplimiento con el indicador")</f>
        <v>cumplimiento del indicador</v>
      </c>
      <c r="M27" s="7" t="str">
        <f>IF(F27&gt;=4,"cumplimiento del indicador","no cumplimiento con el indicador")</f>
        <v>cumplimiento del indicador</v>
      </c>
      <c r="N27" s="7" t="str">
        <f>IF(G27&gt;=4,"cumplimiento del indicador","no cumplimiento con el indicador")</f>
        <v>cumplimiento del indicador</v>
      </c>
      <c r="O27" s="7" t="e">
        <f>IF(#REF!&gt;=4,"cumplimiento del indicador","no cumplimiento con el indicador")</f>
        <v>#REF!</v>
      </c>
      <c r="P27" s="7" t="str">
        <f t="shared" si="0"/>
        <v>Cumplimiento en la evaluación de los indicadores.</v>
      </c>
      <c r="Q27" s="7" t="str">
        <f t="shared" si="1"/>
        <v>No se requiere plan de mejora.</v>
      </c>
      <c r="R27" s="7" t="str">
        <f t="shared" si="2"/>
        <v>Se evidencia cumplimiento en la evaluacion de los indicadores.</v>
      </c>
      <c r="S27" s="1" t="s">
        <v>20</v>
      </c>
    </row>
    <row r="28" spans="1:19" ht="18.75" customHeight="1" x14ac:dyDescent="0.25">
      <c r="A28" s="1" t="s">
        <v>19</v>
      </c>
      <c r="B28" s="1" t="s">
        <v>20</v>
      </c>
      <c r="C28" s="2" t="s">
        <v>73</v>
      </c>
      <c r="D28" s="2" t="s">
        <v>74</v>
      </c>
      <c r="E28" s="3">
        <v>5</v>
      </c>
      <c r="F28" s="3">
        <v>5</v>
      </c>
      <c r="G28" s="3">
        <v>5</v>
      </c>
      <c r="H28" s="4">
        <v>4</v>
      </c>
      <c r="I28" s="5">
        <v>109</v>
      </c>
      <c r="J28" s="6">
        <v>54</v>
      </c>
      <c r="K28" s="6">
        <v>54</v>
      </c>
      <c r="L28" s="7" t="str">
        <f>IF(E28&gt;=4,"cumplimiento del indicador","no cumplimiento con el indicador")</f>
        <v>cumplimiento del indicador</v>
      </c>
      <c r="M28" s="7" t="str">
        <f>IF(F28&gt;=4,"cumplimiento del indicador","no cumplimiento con el indicador")</f>
        <v>cumplimiento del indicador</v>
      </c>
      <c r="N28" s="7" t="str">
        <f>IF(G28&gt;=4,"cumplimiento del indicador","no cumplimiento con el indicador")</f>
        <v>cumplimiento del indicador</v>
      </c>
      <c r="O28" s="7" t="e">
        <f>IF(#REF!&gt;=4,"cumplimiento del indicador","no cumplimiento con el indicador")</f>
        <v>#REF!</v>
      </c>
      <c r="P28" s="7" t="str">
        <f t="shared" si="0"/>
        <v>Cumplimiento en la evaluación de los indicadores.</v>
      </c>
      <c r="Q28" s="7" t="str">
        <f t="shared" si="1"/>
        <v>No se requiere plan de mejora.</v>
      </c>
      <c r="R28" s="7" t="str">
        <f t="shared" si="2"/>
        <v>Se evidencia cumplimiento en la evaluacion de los indicadores.</v>
      </c>
      <c r="S28" s="1" t="s">
        <v>20</v>
      </c>
    </row>
    <row r="29" spans="1:19" ht="18.75" customHeight="1" x14ac:dyDescent="0.25">
      <c r="A29" s="1" t="s">
        <v>19</v>
      </c>
      <c r="B29" s="1" t="s">
        <v>20</v>
      </c>
      <c r="C29" s="2" t="s">
        <v>75</v>
      </c>
      <c r="D29" s="2" t="s">
        <v>76</v>
      </c>
      <c r="E29" s="3">
        <v>5</v>
      </c>
      <c r="F29" s="3">
        <v>5</v>
      </c>
      <c r="G29" s="3">
        <v>5</v>
      </c>
      <c r="H29" s="4">
        <f>AVERAGE(E29:G29)</f>
        <v>5</v>
      </c>
      <c r="I29" s="5">
        <v>24</v>
      </c>
      <c r="J29" s="6">
        <v>12</v>
      </c>
      <c r="K29" s="6">
        <v>12</v>
      </c>
      <c r="L29" s="7" t="str">
        <f>IF(E29&gt;=4,"cumplimiento del indicador","no cumplimiento con el indicador")</f>
        <v>cumplimiento del indicador</v>
      </c>
      <c r="M29" s="7" t="str">
        <f>IF(F29&gt;=4,"cumplimiento del indicador","no cumplimiento con el indicador")</f>
        <v>cumplimiento del indicador</v>
      </c>
      <c r="N29" s="7" t="str">
        <f>IF(G29&gt;=4,"cumplimiento del indicador","no cumplimiento con el indicador")</f>
        <v>cumplimiento del indicador</v>
      </c>
      <c r="O29" s="7" t="e">
        <f>IF(#REF!&gt;=4,"cumplimiento del indicador","no cumplimiento con el indicador")</f>
        <v>#REF!</v>
      </c>
      <c r="P29" s="7" t="str">
        <f t="shared" si="0"/>
        <v>Cumplimiento en la evaluación de los indicadores.</v>
      </c>
      <c r="Q29" s="7" t="str">
        <f t="shared" si="1"/>
        <v>No se requiere plan de mejora.</v>
      </c>
      <c r="R29" s="7" t="str">
        <f t="shared" si="2"/>
        <v>Se evidencia cumplimiento en la evaluacion de los indicadores.</v>
      </c>
      <c r="S29" s="1" t="s">
        <v>20</v>
      </c>
    </row>
    <row r="30" spans="1:19" ht="18.75" customHeight="1" x14ac:dyDescent="0.25">
      <c r="A30" s="1" t="s">
        <v>19</v>
      </c>
      <c r="B30" s="1" t="s">
        <v>20</v>
      </c>
      <c r="C30" s="2" t="s">
        <v>77</v>
      </c>
      <c r="D30" s="2" t="s">
        <v>78</v>
      </c>
      <c r="E30" s="3">
        <v>4</v>
      </c>
      <c r="F30" s="3">
        <v>4</v>
      </c>
      <c r="G30" s="3">
        <v>4</v>
      </c>
      <c r="H30" s="4">
        <v>4</v>
      </c>
      <c r="I30" s="5">
        <v>36</v>
      </c>
      <c r="J30" s="6">
        <v>18</v>
      </c>
      <c r="K30" s="6">
        <v>18</v>
      </c>
      <c r="L30" s="7" t="str">
        <f>IF(E30&gt;=4,"cumplimiento del indicador","no cumplimiento con el indicador")</f>
        <v>cumplimiento del indicador</v>
      </c>
      <c r="M30" s="7" t="str">
        <f>IF(F30&gt;=4,"cumplimiento del indicador","no cumplimiento con el indicador")</f>
        <v>cumplimiento del indicador</v>
      </c>
      <c r="N30" s="7" t="str">
        <f>IF(G30&gt;=4,"cumplimiento del indicador","no cumplimiento con el indicador")</f>
        <v>cumplimiento del indicador</v>
      </c>
      <c r="O30" s="7" t="e">
        <f>IF(#REF!&gt;=4,"cumplimiento del indicador","no cumplimiento con el indicador")</f>
        <v>#REF!</v>
      </c>
      <c r="P30" s="7" t="str">
        <f t="shared" si="0"/>
        <v>Cumplimiento en la evaluación de los indicadores.</v>
      </c>
      <c r="Q30" s="7" t="str">
        <f t="shared" si="1"/>
        <v>No se requiere plan de mejora.</v>
      </c>
      <c r="R30" s="7" t="str">
        <f t="shared" si="2"/>
        <v>Se evidencia cumplimiento en la evaluacion de los indicadores.</v>
      </c>
      <c r="S30" s="1" t="s">
        <v>20</v>
      </c>
    </row>
    <row r="31" spans="1:19" ht="18.75" customHeight="1" x14ac:dyDescent="0.25">
      <c r="A31" s="1" t="s">
        <v>19</v>
      </c>
      <c r="B31" s="1" t="s">
        <v>20</v>
      </c>
      <c r="C31" s="2" t="s">
        <v>79</v>
      </c>
      <c r="D31" s="2" t="s">
        <v>80</v>
      </c>
      <c r="E31" s="3">
        <v>4</v>
      </c>
      <c r="F31" s="3">
        <v>4</v>
      </c>
      <c r="G31" s="3">
        <v>4</v>
      </c>
      <c r="H31" s="4">
        <f>AVERAGE(E31:G31)</f>
        <v>4</v>
      </c>
      <c r="I31" s="5">
        <v>366</v>
      </c>
      <c r="J31" s="6">
        <v>183</v>
      </c>
      <c r="K31" s="6">
        <v>183</v>
      </c>
      <c r="L31" s="7" t="str">
        <f>IF(E31&gt;=4,"cumplimiento del indicador","no cumplimiento con el indicador")</f>
        <v>cumplimiento del indicador</v>
      </c>
      <c r="M31" s="7" t="str">
        <f>IF(F31&gt;=4,"cumplimiento del indicador","no cumplimiento con el indicador")</f>
        <v>cumplimiento del indicador</v>
      </c>
      <c r="N31" s="7" t="str">
        <f>IF(G31&gt;=4,"cumplimiento del indicador","no cumplimiento con el indicador")</f>
        <v>cumplimiento del indicador</v>
      </c>
      <c r="O31" s="7" t="e">
        <f>IF(#REF!&gt;=4,"cumplimiento del indicador","no cumplimiento con el indicador")</f>
        <v>#REF!</v>
      </c>
      <c r="P31" s="7" t="str">
        <f t="shared" si="0"/>
        <v>Cumplimiento en la evaluación de los indicadores.</v>
      </c>
      <c r="Q31" s="7" t="str">
        <f t="shared" si="1"/>
        <v>No se requiere plan de mejora.</v>
      </c>
      <c r="R31" s="7" t="str">
        <f t="shared" si="2"/>
        <v>Se evidencia cumplimiento en la evaluacion de los indicadores.</v>
      </c>
      <c r="S31" s="1" t="s">
        <v>20</v>
      </c>
    </row>
    <row r="32" spans="1:19" ht="18.75" customHeight="1" x14ac:dyDescent="0.25">
      <c r="A32" s="1" t="s">
        <v>19</v>
      </c>
      <c r="B32" s="1" t="s">
        <v>20</v>
      </c>
      <c r="C32" s="2" t="s">
        <v>81</v>
      </c>
      <c r="D32" s="2" t="s">
        <v>82</v>
      </c>
      <c r="E32" s="3">
        <v>4</v>
      </c>
      <c r="F32" s="3">
        <v>4</v>
      </c>
      <c r="G32" s="3">
        <v>4</v>
      </c>
      <c r="H32" s="4">
        <v>4</v>
      </c>
      <c r="I32" s="5">
        <v>39</v>
      </c>
      <c r="J32" s="6">
        <v>19</v>
      </c>
      <c r="K32" s="6">
        <v>19</v>
      </c>
      <c r="L32" s="7" t="str">
        <f>IF(E32&gt;=4,"cumplimiento del indicador","no cumplimiento con el indicador")</f>
        <v>cumplimiento del indicador</v>
      </c>
      <c r="M32" s="7" t="str">
        <f>IF(F32&gt;=4,"cumplimiento del indicador","no cumplimiento con el indicador")</f>
        <v>cumplimiento del indicador</v>
      </c>
      <c r="N32" s="7" t="str">
        <f>IF(G32&gt;=4,"cumplimiento del indicador","no cumplimiento con el indicador")</f>
        <v>cumplimiento del indicador</v>
      </c>
      <c r="O32" s="7" t="e">
        <f>IF(#REF!&gt;=4,"cumplimiento del indicador","no cumplimiento con el indicador")</f>
        <v>#REF!</v>
      </c>
      <c r="P32" s="7" t="str">
        <f t="shared" si="0"/>
        <v>Cumplimiento en la evaluación de los indicadores.</v>
      </c>
      <c r="Q32" s="7" t="str">
        <f t="shared" si="1"/>
        <v>No se requiere plan de mejora.</v>
      </c>
      <c r="R32" s="7" t="str">
        <f t="shared" si="2"/>
        <v>Se evidencia cumplimiento en la evaluacion de los indicadores.</v>
      </c>
      <c r="S32" s="1" t="s">
        <v>20</v>
      </c>
    </row>
    <row r="33" spans="1:19" ht="18.75" customHeight="1" x14ac:dyDescent="0.25">
      <c r="A33" s="1" t="s">
        <v>19</v>
      </c>
      <c r="B33" s="1" t="s">
        <v>20</v>
      </c>
      <c r="C33" s="2" t="s">
        <v>83</v>
      </c>
      <c r="D33" s="2" t="s">
        <v>84</v>
      </c>
      <c r="E33" s="3">
        <v>5</v>
      </c>
      <c r="F33" s="3">
        <v>5</v>
      </c>
      <c r="G33" s="3">
        <v>5</v>
      </c>
      <c r="H33" s="4">
        <f>AVERAGE(E33:G33)</f>
        <v>5</v>
      </c>
      <c r="I33" s="5">
        <v>135</v>
      </c>
      <c r="J33" s="6">
        <v>67</v>
      </c>
      <c r="K33" s="6">
        <v>67</v>
      </c>
      <c r="L33" s="7" t="str">
        <f>IF(E33&gt;=4,"cumplimiento del indicador","no cumplimiento con el indicador")</f>
        <v>cumplimiento del indicador</v>
      </c>
      <c r="M33" s="7" t="str">
        <f>IF(F33&gt;=4,"cumplimiento del indicador","no cumplimiento con el indicador")</f>
        <v>cumplimiento del indicador</v>
      </c>
      <c r="N33" s="7" t="str">
        <f>IF(G33&gt;=4,"cumplimiento del indicador","no cumplimiento con el indicador")</f>
        <v>cumplimiento del indicador</v>
      </c>
      <c r="O33" s="7" t="e">
        <f>IF(#REF!&gt;=4,"cumplimiento del indicador","no cumplimiento con el indicador")</f>
        <v>#REF!</v>
      </c>
      <c r="P33" s="7" t="str">
        <f t="shared" si="0"/>
        <v>Cumplimiento en la evaluación de los indicadores.</v>
      </c>
      <c r="Q33" s="7" t="str">
        <f t="shared" si="1"/>
        <v>No se requiere plan de mejora.</v>
      </c>
      <c r="R33" s="7" t="str">
        <f t="shared" si="2"/>
        <v>Se evidencia cumplimiento en la evaluacion de los indicadores.</v>
      </c>
      <c r="S33" s="1" t="s">
        <v>20</v>
      </c>
    </row>
    <row r="34" spans="1:19" ht="18.75" customHeight="1" x14ac:dyDescent="0.25">
      <c r="A34" s="1" t="s">
        <v>19</v>
      </c>
      <c r="B34" s="1" t="s">
        <v>20</v>
      </c>
      <c r="C34" s="2" t="s">
        <v>85</v>
      </c>
      <c r="D34" s="2" t="s">
        <v>86</v>
      </c>
      <c r="E34" s="3">
        <v>4</v>
      </c>
      <c r="F34" s="3">
        <v>4</v>
      </c>
      <c r="G34" s="3">
        <v>4</v>
      </c>
      <c r="H34" s="4">
        <v>4</v>
      </c>
      <c r="I34" s="5">
        <v>116</v>
      </c>
      <c r="J34" s="6">
        <v>58</v>
      </c>
      <c r="K34" s="6">
        <v>58</v>
      </c>
      <c r="L34" s="7" t="str">
        <f>IF(E34&gt;=4,"cumplimiento del indicador","no cumplimiento con el indicador")</f>
        <v>cumplimiento del indicador</v>
      </c>
      <c r="M34" s="7" t="str">
        <f>IF(F34&gt;=4,"cumplimiento del indicador","no cumplimiento con el indicador")</f>
        <v>cumplimiento del indicador</v>
      </c>
      <c r="N34" s="7" t="str">
        <f>IF(G34&gt;=4,"cumplimiento del indicador","no cumplimiento con el indicador")</f>
        <v>cumplimiento del indicador</v>
      </c>
      <c r="O34" s="7" t="e">
        <f>IF(#REF!&gt;=4,"cumplimiento del indicador","no cumplimiento con el indicador")</f>
        <v>#REF!</v>
      </c>
      <c r="P34" s="7" t="str">
        <f t="shared" ref="P34:P69" si="3">IF(H34&gt;=4,"Cumplimiento en la evaluación de los indicadores.","No cumplimiento en la evaluación de los indicadores.")</f>
        <v>Cumplimiento en la evaluación de los indicadores.</v>
      </c>
      <c r="Q34" s="7" t="str">
        <f t="shared" ref="Q34:Q69" si="4">IF(H34&gt;=4,"No se requiere plan de mejora.","Se requiere plan de mejora.")</f>
        <v>No se requiere plan de mejora.</v>
      </c>
      <c r="R34" s="7" t="str">
        <f t="shared" ref="R34:R69" si="5">IF(H34&gt;=4,"Se evidencia cumplimiento en la evaluacion de los indicadores.","Se evidencia incumplimiento en la evaluacion de los indicadores.")</f>
        <v>Se evidencia cumplimiento en la evaluacion de los indicadores.</v>
      </c>
      <c r="S34" s="1" t="s">
        <v>20</v>
      </c>
    </row>
    <row r="35" spans="1:19" ht="18.75" customHeight="1" x14ac:dyDescent="0.25">
      <c r="A35" s="1" t="s">
        <v>19</v>
      </c>
      <c r="B35" s="1" t="s">
        <v>20</v>
      </c>
      <c r="C35" s="2" t="s">
        <v>87</v>
      </c>
      <c r="D35" s="2" t="s">
        <v>88</v>
      </c>
      <c r="E35" s="3">
        <v>5</v>
      </c>
      <c r="F35" s="3">
        <v>5</v>
      </c>
      <c r="G35" s="3">
        <v>5</v>
      </c>
      <c r="H35" s="4">
        <f>AVERAGE(E35:G35)</f>
        <v>5</v>
      </c>
      <c r="I35" s="5">
        <v>40</v>
      </c>
      <c r="J35" s="6">
        <v>20</v>
      </c>
      <c r="K35" s="6">
        <v>20</v>
      </c>
      <c r="L35" s="7" t="str">
        <f>IF(E35&gt;=4,"cumplimiento del indicador","no cumplimiento con el indicador")</f>
        <v>cumplimiento del indicador</v>
      </c>
      <c r="M35" s="7" t="str">
        <f>IF(F35&gt;=4,"cumplimiento del indicador","no cumplimiento con el indicador")</f>
        <v>cumplimiento del indicador</v>
      </c>
      <c r="N35" s="7" t="str">
        <f>IF(G35&gt;=4,"cumplimiento del indicador","no cumplimiento con el indicador")</f>
        <v>cumplimiento del indicador</v>
      </c>
      <c r="O35" s="7" t="e">
        <f>IF(#REF!&gt;=4,"cumplimiento del indicador","no cumplimiento con el indicador")</f>
        <v>#REF!</v>
      </c>
      <c r="P35" s="7" t="str">
        <f t="shared" si="3"/>
        <v>Cumplimiento en la evaluación de los indicadores.</v>
      </c>
      <c r="Q35" s="7" t="str">
        <f t="shared" si="4"/>
        <v>No se requiere plan de mejora.</v>
      </c>
      <c r="R35" s="7" t="str">
        <f t="shared" si="5"/>
        <v>Se evidencia cumplimiento en la evaluacion de los indicadores.</v>
      </c>
      <c r="S35" s="1" t="s">
        <v>20</v>
      </c>
    </row>
    <row r="36" spans="1:19" ht="18.75" customHeight="1" x14ac:dyDescent="0.25">
      <c r="A36" s="1" t="s">
        <v>19</v>
      </c>
      <c r="B36" s="1" t="s">
        <v>20</v>
      </c>
      <c r="C36" s="2" t="s">
        <v>89</v>
      </c>
      <c r="D36" s="2" t="s">
        <v>90</v>
      </c>
      <c r="E36" s="3">
        <v>5</v>
      </c>
      <c r="F36" s="3">
        <v>5</v>
      </c>
      <c r="G36" s="3">
        <v>5</v>
      </c>
      <c r="H36" s="4">
        <v>4</v>
      </c>
      <c r="I36" s="5">
        <v>951</v>
      </c>
      <c r="J36" s="6">
        <v>475</v>
      </c>
      <c r="K36" s="6">
        <v>475</v>
      </c>
      <c r="L36" s="7" t="str">
        <f>IF(E36&gt;=4,"cumplimiento del indicador","no cumplimiento con el indicador")</f>
        <v>cumplimiento del indicador</v>
      </c>
      <c r="M36" s="7" t="str">
        <f>IF(F36&gt;=4,"cumplimiento del indicador","no cumplimiento con el indicador")</f>
        <v>cumplimiento del indicador</v>
      </c>
      <c r="N36" s="7" t="str">
        <f>IF(G36&gt;=4,"cumplimiento del indicador","no cumplimiento con el indicador")</f>
        <v>cumplimiento del indicador</v>
      </c>
      <c r="O36" s="7" t="e">
        <f>IF(#REF!&gt;=4,"cumplimiento del indicador","no cumplimiento con el indicador")</f>
        <v>#REF!</v>
      </c>
      <c r="P36" s="7" t="str">
        <f t="shared" si="3"/>
        <v>Cumplimiento en la evaluación de los indicadores.</v>
      </c>
      <c r="Q36" s="7" t="str">
        <f t="shared" si="4"/>
        <v>No se requiere plan de mejora.</v>
      </c>
      <c r="R36" s="7" t="str">
        <f t="shared" si="5"/>
        <v>Se evidencia cumplimiento en la evaluacion de los indicadores.</v>
      </c>
      <c r="S36" s="1" t="s">
        <v>20</v>
      </c>
    </row>
    <row r="37" spans="1:19" ht="18.75" customHeight="1" x14ac:dyDescent="0.25">
      <c r="A37" s="1" t="s">
        <v>19</v>
      </c>
      <c r="B37" s="1" t="s">
        <v>20</v>
      </c>
      <c r="C37" s="2" t="s">
        <v>91</v>
      </c>
      <c r="D37" s="2" t="s">
        <v>92</v>
      </c>
      <c r="E37" s="3">
        <v>5</v>
      </c>
      <c r="F37" s="3">
        <v>5</v>
      </c>
      <c r="G37" s="3">
        <v>5</v>
      </c>
      <c r="H37" s="4">
        <f>AVERAGE(E37:G37)</f>
        <v>5</v>
      </c>
      <c r="I37" s="5">
        <v>18</v>
      </c>
      <c r="J37" s="6">
        <v>9</v>
      </c>
      <c r="K37" s="6">
        <v>9</v>
      </c>
      <c r="L37" s="7" t="str">
        <f>IF(E37&gt;=4,"cumplimiento del indicador","no cumplimiento con el indicador")</f>
        <v>cumplimiento del indicador</v>
      </c>
      <c r="M37" s="7" t="str">
        <f>IF(F37&gt;=4,"cumplimiento del indicador","no cumplimiento con el indicador")</f>
        <v>cumplimiento del indicador</v>
      </c>
      <c r="N37" s="7" t="str">
        <f>IF(G37&gt;=4,"cumplimiento del indicador","no cumplimiento con el indicador")</f>
        <v>cumplimiento del indicador</v>
      </c>
      <c r="O37" s="7" t="e">
        <f>IF(#REF!&gt;=4,"cumplimiento del indicador","no cumplimiento con el indicador")</f>
        <v>#REF!</v>
      </c>
      <c r="P37" s="7" t="str">
        <f t="shared" si="3"/>
        <v>Cumplimiento en la evaluación de los indicadores.</v>
      </c>
      <c r="Q37" s="7" t="str">
        <f t="shared" si="4"/>
        <v>No se requiere plan de mejora.</v>
      </c>
      <c r="R37" s="7" t="str">
        <f t="shared" si="5"/>
        <v>Se evidencia cumplimiento en la evaluacion de los indicadores.</v>
      </c>
      <c r="S37" s="1" t="s">
        <v>20</v>
      </c>
    </row>
    <row r="38" spans="1:19" ht="18.75" customHeight="1" x14ac:dyDescent="0.25">
      <c r="A38" s="1" t="s">
        <v>19</v>
      </c>
      <c r="B38" s="1" t="s">
        <v>20</v>
      </c>
      <c r="C38" s="2" t="s">
        <v>93</v>
      </c>
      <c r="D38" s="2" t="s">
        <v>94</v>
      </c>
      <c r="E38" s="3">
        <v>4</v>
      </c>
      <c r="F38" s="3">
        <v>4</v>
      </c>
      <c r="G38" s="3">
        <v>4</v>
      </c>
      <c r="H38" s="4">
        <f>AVERAGE(E38:G38)</f>
        <v>4</v>
      </c>
      <c r="I38" s="5">
        <v>448</v>
      </c>
      <c r="J38" s="6">
        <v>224</v>
      </c>
      <c r="K38" s="6">
        <v>224</v>
      </c>
      <c r="L38" s="7" t="str">
        <f>IF(E38&gt;=4,"cumplimiento del indicador","no cumplimiento con el indicador")</f>
        <v>cumplimiento del indicador</v>
      </c>
      <c r="M38" s="7" t="str">
        <f>IF(F38&gt;=4,"cumplimiento del indicador","no cumplimiento con el indicador")</f>
        <v>cumplimiento del indicador</v>
      </c>
      <c r="N38" s="7" t="str">
        <f>IF(G38&gt;=4,"cumplimiento del indicador","no cumplimiento con el indicador")</f>
        <v>cumplimiento del indicador</v>
      </c>
      <c r="O38" s="7" t="e">
        <f>IF(#REF!&gt;=4,"cumplimiento del indicador","no cumplimiento con el indicador")</f>
        <v>#REF!</v>
      </c>
      <c r="P38" s="7" t="str">
        <f t="shared" si="3"/>
        <v>Cumplimiento en la evaluación de los indicadores.</v>
      </c>
      <c r="Q38" s="7" t="str">
        <f t="shared" si="4"/>
        <v>No se requiere plan de mejora.</v>
      </c>
      <c r="R38" s="7" t="str">
        <f t="shared" si="5"/>
        <v>Se evidencia cumplimiento en la evaluacion de los indicadores.</v>
      </c>
      <c r="S38" s="1" t="s">
        <v>20</v>
      </c>
    </row>
    <row r="39" spans="1:19" ht="18.75" customHeight="1" x14ac:dyDescent="0.25">
      <c r="A39" s="1" t="s">
        <v>19</v>
      </c>
      <c r="B39" s="1" t="s">
        <v>20</v>
      </c>
      <c r="C39" s="2" t="s">
        <v>95</v>
      </c>
      <c r="D39" s="2" t="s">
        <v>96</v>
      </c>
      <c r="E39" s="3">
        <v>5</v>
      </c>
      <c r="F39" s="3">
        <v>5</v>
      </c>
      <c r="G39" s="3">
        <v>5</v>
      </c>
      <c r="H39" s="4">
        <v>4</v>
      </c>
      <c r="I39" s="5">
        <v>70</v>
      </c>
      <c r="J39" s="6">
        <v>35</v>
      </c>
      <c r="K39" s="6">
        <v>35</v>
      </c>
      <c r="L39" s="7" t="str">
        <f>IF(E39&gt;=4,"cumplimiento del indicador","no cumplimiento con el indicador")</f>
        <v>cumplimiento del indicador</v>
      </c>
      <c r="M39" s="7" t="str">
        <f>IF(F39&gt;=4,"cumplimiento del indicador","no cumplimiento con el indicador")</f>
        <v>cumplimiento del indicador</v>
      </c>
      <c r="N39" s="7" t="str">
        <f>IF(G39&gt;=4,"cumplimiento del indicador","no cumplimiento con el indicador")</f>
        <v>cumplimiento del indicador</v>
      </c>
      <c r="O39" s="7" t="e">
        <f>IF(#REF!&gt;=4,"cumplimiento del indicador","no cumplimiento con el indicador")</f>
        <v>#REF!</v>
      </c>
      <c r="P39" s="7" t="str">
        <f t="shared" si="3"/>
        <v>Cumplimiento en la evaluación de los indicadores.</v>
      </c>
      <c r="Q39" s="7" t="str">
        <f t="shared" si="4"/>
        <v>No se requiere plan de mejora.</v>
      </c>
      <c r="R39" s="7" t="str">
        <f t="shared" si="5"/>
        <v>Se evidencia cumplimiento en la evaluacion de los indicadores.</v>
      </c>
      <c r="S39" s="1" t="s">
        <v>20</v>
      </c>
    </row>
    <row r="40" spans="1:19" ht="18.75" customHeight="1" x14ac:dyDescent="0.25">
      <c r="A40" s="1" t="s">
        <v>19</v>
      </c>
      <c r="B40" s="1" t="s">
        <v>20</v>
      </c>
      <c r="C40" s="2" t="s">
        <v>97</v>
      </c>
      <c r="D40" s="2" t="s">
        <v>98</v>
      </c>
      <c r="E40" s="3">
        <v>5</v>
      </c>
      <c r="F40" s="3">
        <v>5</v>
      </c>
      <c r="G40" s="3">
        <v>5</v>
      </c>
      <c r="H40" s="4">
        <f>AVERAGE(E40:G40)</f>
        <v>5</v>
      </c>
      <c r="I40" s="5">
        <v>59</v>
      </c>
      <c r="J40" s="6">
        <v>29</v>
      </c>
      <c r="K40" s="6">
        <v>29</v>
      </c>
      <c r="L40" s="7" t="str">
        <f>IF(E40&gt;=4,"cumplimiento del indicador","no cumplimiento con el indicador")</f>
        <v>cumplimiento del indicador</v>
      </c>
      <c r="M40" s="7" t="str">
        <f>IF(F40&gt;=4,"cumplimiento del indicador","no cumplimiento con el indicador")</f>
        <v>cumplimiento del indicador</v>
      </c>
      <c r="N40" s="7" t="str">
        <f>IF(G40&gt;=4,"cumplimiento del indicador","no cumplimiento con el indicador")</f>
        <v>cumplimiento del indicador</v>
      </c>
      <c r="O40" s="7" t="e">
        <f>IF(#REF!&gt;=4,"cumplimiento del indicador","no cumplimiento con el indicador")</f>
        <v>#REF!</v>
      </c>
      <c r="P40" s="7" t="str">
        <f t="shared" si="3"/>
        <v>Cumplimiento en la evaluación de los indicadores.</v>
      </c>
      <c r="Q40" s="7" t="str">
        <f t="shared" si="4"/>
        <v>No se requiere plan de mejora.</v>
      </c>
      <c r="R40" s="7" t="str">
        <f t="shared" si="5"/>
        <v>Se evidencia cumplimiento en la evaluacion de los indicadores.</v>
      </c>
      <c r="S40" s="1" t="s">
        <v>20</v>
      </c>
    </row>
    <row r="41" spans="1:19" ht="18.75" customHeight="1" x14ac:dyDescent="0.25">
      <c r="A41" s="1" t="s">
        <v>19</v>
      </c>
      <c r="B41" s="1" t="s">
        <v>20</v>
      </c>
      <c r="C41" s="2" t="s">
        <v>99</v>
      </c>
      <c r="D41" s="2" t="s">
        <v>100</v>
      </c>
      <c r="E41" s="3">
        <v>5</v>
      </c>
      <c r="F41" s="3">
        <v>5</v>
      </c>
      <c r="G41" s="3">
        <v>4</v>
      </c>
      <c r="H41" s="4">
        <v>4</v>
      </c>
      <c r="I41" s="5">
        <v>459</v>
      </c>
      <c r="J41" s="6">
        <v>229</v>
      </c>
      <c r="K41" s="6">
        <v>229</v>
      </c>
      <c r="L41" s="7" t="str">
        <f>IF(E41&gt;=4,"cumplimiento del indicador","no cumplimiento con el indicador")</f>
        <v>cumplimiento del indicador</v>
      </c>
      <c r="M41" s="7" t="str">
        <f>IF(F41&gt;=4,"cumplimiento del indicador","no cumplimiento con el indicador")</f>
        <v>cumplimiento del indicador</v>
      </c>
      <c r="N41" s="7" t="str">
        <f>IF(G41&gt;=4,"cumplimiento del indicador","no cumplimiento con el indicador")</f>
        <v>cumplimiento del indicador</v>
      </c>
      <c r="O41" s="7" t="e">
        <f>IF(#REF!&gt;=4,"cumplimiento del indicador","no cumplimiento con el indicador")</f>
        <v>#REF!</v>
      </c>
      <c r="P41" s="7" t="str">
        <f t="shared" si="3"/>
        <v>Cumplimiento en la evaluación de los indicadores.</v>
      </c>
      <c r="Q41" s="7" t="str">
        <f t="shared" si="4"/>
        <v>No se requiere plan de mejora.</v>
      </c>
      <c r="R41" s="7" t="str">
        <f t="shared" si="5"/>
        <v>Se evidencia cumplimiento en la evaluacion de los indicadores.</v>
      </c>
      <c r="S41" s="1" t="s">
        <v>20</v>
      </c>
    </row>
    <row r="42" spans="1:19" ht="18.75" customHeight="1" x14ac:dyDescent="0.25">
      <c r="A42" s="1" t="s">
        <v>19</v>
      </c>
      <c r="B42" s="1" t="s">
        <v>20</v>
      </c>
      <c r="C42" s="2" t="s">
        <v>101</v>
      </c>
      <c r="D42" s="2" t="s">
        <v>102</v>
      </c>
      <c r="E42" s="3">
        <v>5</v>
      </c>
      <c r="F42" s="3">
        <v>5</v>
      </c>
      <c r="G42" s="3">
        <v>5</v>
      </c>
      <c r="H42" s="4">
        <v>4</v>
      </c>
      <c r="I42" s="5">
        <v>251</v>
      </c>
      <c r="J42" s="6">
        <v>125</v>
      </c>
      <c r="K42" s="6">
        <v>125</v>
      </c>
      <c r="L42" s="7" t="str">
        <f>IF(E42&gt;=4,"cumplimiento del indicador","no cumplimiento con el indicador")</f>
        <v>cumplimiento del indicador</v>
      </c>
      <c r="M42" s="7" t="str">
        <f>IF(F42&gt;=4,"cumplimiento del indicador","no cumplimiento con el indicador")</f>
        <v>cumplimiento del indicador</v>
      </c>
      <c r="N42" s="7" t="str">
        <f>IF(G42&gt;=4,"cumplimiento del indicador","no cumplimiento con el indicador")</f>
        <v>cumplimiento del indicador</v>
      </c>
      <c r="O42" s="7" t="e">
        <f>IF(#REF!&gt;=4,"cumplimiento del indicador","no cumplimiento con el indicador")</f>
        <v>#REF!</v>
      </c>
      <c r="P42" s="7" t="str">
        <f t="shared" si="3"/>
        <v>Cumplimiento en la evaluación de los indicadores.</v>
      </c>
      <c r="Q42" s="7" t="str">
        <f t="shared" si="4"/>
        <v>No se requiere plan de mejora.</v>
      </c>
      <c r="R42" s="7" t="str">
        <f t="shared" si="5"/>
        <v>Se evidencia cumplimiento en la evaluacion de los indicadores.</v>
      </c>
      <c r="S42" s="1" t="s">
        <v>20</v>
      </c>
    </row>
    <row r="43" spans="1:19" ht="18.75" customHeight="1" x14ac:dyDescent="0.25">
      <c r="A43" s="1" t="s">
        <v>19</v>
      </c>
      <c r="B43" s="1" t="s">
        <v>20</v>
      </c>
      <c r="C43" s="2" t="s">
        <v>103</v>
      </c>
      <c r="D43" s="2" t="s">
        <v>104</v>
      </c>
      <c r="E43" s="3">
        <v>5</v>
      </c>
      <c r="F43" s="3">
        <v>5</v>
      </c>
      <c r="G43" s="3">
        <v>5</v>
      </c>
      <c r="H43" s="4">
        <f>AVERAGE(E43:G43)</f>
        <v>5</v>
      </c>
      <c r="I43" s="5">
        <v>144</v>
      </c>
      <c r="J43" s="6">
        <v>72</v>
      </c>
      <c r="K43" s="6">
        <v>72</v>
      </c>
      <c r="L43" s="7" t="str">
        <f>IF(E43&gt;=4,"cumplimiento del indicador","no cumplimiento con el indicador")</f>
        <v>cumplimiento del indicador</v>
      </c>
      <c r="M43" s="7" t="str">
        <f>IF(F43&gt;=4,"cumplimiento del indicador","no cumplimiento con el indicador")</f>
        <v>cumplimiento del indicador</v>
      </c>
      <c r="N43" s="7" t="str">
        <f>IF(G43&gt;=4,"cumplimiento del indicador","no cumplimiento con el indicador")</f>
        <v>cumplimiento del indicador</v>
      </c>
      <c r="O43" s="7" t="e">
        <f>IF(#REF!&gt;=4,"cumplimiento del indicador","no cumplimiento con el indicador")</f>
        <v>#REF!</v>
      </c>
      <c r="P43" s="7" t="str">
        <f t="shared" si="3"/>
        <v>Cumplimiento en la evaluación de los indicadores.</v>
      </c>
      <c r="Q43" s="7" t="str">
        <f t="shared" si="4"/>
        <v>No se requiere plan de mejora.</v>
      </c>
      <c r="R43" s="7" t="str">
        <f t="shared" si="5"/>
        <v>Se evidencia cumplimiento en la evaluacion de los indicadores.</v>
      </c>
      <c r="S43" s="1" t="s">
        <v>20</v>
      </c>
    </row>
    <row r="44" spans="1:19" ht="18.75" customHeight="1" x14ac:dyDescent="0.25">
      <c r="A44" s="1" t="s">
        <v>19</v>
      </c>
      <c r="B44" s="1" t="s">
        <v>20</v>
      </c>
      <c r="C44" s="2" t="s">
        <v>105</v>
      </c>
      <c r="D44" s="2" t="s">
        <v>106</v>
      </c>
      <c r="E44" s="3">
        <v>5</v>
      </c>
      <c r="F44" s="3">
        <v>5</v>
      </c>
      <c r="G44" s="3">
        <v>5</v>
      </c>
      <c r="H44" s="4">
        <v>4</v>
      </c>
      <c r="I44" s="5">
        <v>135</v>
      </c>
      <c r="J44" s="6">
        <v>67</v>
      </c>
      <c r="K44" s="6">
        <v>67</v>
      </c>
      <c r="L44" s="7" t="str">
        <f>IF(E44&gt;=4,"cumplimiento del indicador","no cumplimiento con el indicador")</f>
        <v>cumplimiento del indicador</v>
      </c>
      <c r="M44" s="7" t="str">
        <f>IF(F44&gt;=4,"cumplimiento del indicador","no cumplimiento con el indicador")</f>
        <v>cumplimiento del indicador</v>
      </c>
      <c r="N44" s="7" t="str">
        <f>IF(G44&gt;=4,"cumplimiento del indicador","no cumplimiento con el indicador")</f>
        <v>cumplimiento del indicador</v>
      </c>
      <c r="O44" s="7" t="e">
        <f>IF(#REF!&gt;=4,"cumplimiento del indicador","no cumplimiento con el indicador")</f>
        <v>#REF!</v>
      </c>
      <c r="P44" s="7" t="str">
        <f t="shared" si="3"/>
        <v>Cumplimiento en la evaluación de los indicadores.</v>
      </c>
      <c r="Q44" s="7" t="str">
        <f t="shared" si="4"/>
        <v>No se requiere plan de mejora.</v>
      </c>
      <c r="R44" s="7" t="str">
        <f t="shared" si="5"/>
        <v>Se evidencia cumplimiento en la evaluacion de los indicadores.</v>
      </c>
      <c r="S44" s="1" t="s">
        <v>20</v>
      </c>
    </row>
    <row r="45" spans="1:19" ht="18.75" customHeight="1" x14ac:dyDescent="0.25">
      <c r="A45" s="1" t="s">
        <v>19</v>
      </c>
      <c r="B45" s="1" t="s">
        <v>20</v>
      </c>
      <c r="C45" s="2" t="s">
        <v>107</v>
      </c>
      <c r="D45" s="2" t="s">
        <v>108</v>
      </c>
      <c r="E45" s="3">
        <v>5</v>
      </c>
      <c r="F45" s="3">
        <v>5</v>
      </c>
      <c r="G45" s="3">
        <v>5</v>
      </c>
      <c r="H45" s="4">
        <v>4</v>
      </c>
      <c r="I45" s="5">
        <v>327</v>
      </c>
      <c r="J45" s="6">
        <v>163</v>
      </c>
      <c r="K45" s="6">
        <v>163</v>
      </c>
      <c r="L45" s="7" t="str">
        <f>IF(E45&gt;=4,"cumplimiento del indicador","no cumplimiento con el indicador")</f>
        <v>cumplimiento del indicador</v>
      </c>
      <c r="M45" s="7" t="str">
        <f>IF(F45&gt;=4,"cumplimiento del indicador","no cumplimiento con el indicador")</f>
        <v>cumplimiento del indicador</v>
      </c>
      <c r="N45" s="7" t="str">
        <f>IF(G45&gt;=4,"cumplimiento del indicador","no cumplimiento con el indicador")</f>
        <v>cumplimiento del indicador</v>
      </c>
      <c r="O45" s="7" t="e">
        <f>IF(#REF!&gt;=4,"cumplimiento del indicador","no cumplimiento con el indicador")</f>
        <v>#REF!</v>
      </c>
      <c r="P45" s="7" t="str">
        <f t="shared" si="3"/>
        <v>Cumplimiento en la evaluación de los indicadores.</v>
      </c>
      <c r="Q45" s="7" t="str">
        <f t="shared" si="4"/>
        <v>No se requiere plan de mejora.</v>
      </c>
      <c r="R45" s="7" t="str">
        <f t="shared" si="5"/>
        <v>Se evidencia cumplimiento en la evaluacion de los indicadores.</v>
      </c>
      <c r="S45" s="1" t="s">
        <v>20</v>
      </c>
    </row>
    <row r="46" spans="1:19" ht="18.75" customHeight="1" x14ac:dyDescent="0.25">
      <c r="A46" s="1" t="s">
        <v>19</v>
      </c>
      <c r="B46" s="1" t="s">
        <v>20</v>
      </c>
      <c r="C46" s="2" t="s">
        <v>109</v>
      </c>
      <c r="D46" s="2" t="s">
        <v>110</v>
      </c>
      <c r="E46" s="3">
        <v>5</v>
      </c>
      <c r="F46" s="3">
        <v>5</v>
      </c>
      <c r="G46" s="3">
        <v>5</v>
      </c>
      <c r="H46" s="4">
        <v>4</v>
      </c>
      <c r="I46" s="5">
        <v>90</v>
      </c>
      <c r="J46" s="6">
        <v>45</v>
      </c>
      <c r="K46" s="6">
        <v>45</v>
      </c>
      <c r="L46" s="7" t="str">
        <f>IF(E46&gt;=4,"cumplimiento del indicador","no cumplimiento con el indicador")</f>
        <v>cumplimiento del indicador</v>
      </c>
      <c r="M46" s="7" t="str">
        <f>IF(F46&gt;=4,"cumplimiento del indicador","no cumplimiento con el indicador")</f>
        <v>cumplimiento del indicador</v>
      </c>
      <c r="N46" s="7" t="str">
        <f>IF(G46&gt;=4,"cumplimiento del indicador","no cumplimiento con el indicador")</f>
        <v>cumplimiento del indicador</v>
      </c>
      <c r="O46" s="7" t="e">
        <f>IF(#REF!&gt;=4,"cumplimiento del indicador","no cumplimiento con el indicador")</f>
        <v>#REF!</v>
      </c>
      <c r="P46" s="7" t="str">
        <f t="shared" si="3"/>
        <v>Cumplimiento en la evaluación de los indicadores.</v>
      </c>
      <c r="Q46" s="7" t="str">
        <f t="shared" si="4"/>
        <v>No se requiere plan de mejora.</v>
      </c>
      <c r="R46" s="7" t="str">
        <f t="shared" si="5"/>
        <v>Se evidencia cumplimiento en la evaluacion de los indicadores.</v>
      </c>
      <c r="S46" s="1" t="s">
        <v>20</v>
      </c>
    </row>
    <row r="47" spans="1:19" ht="18.75" customHeight="1" x14ac:dyDescent="0.25">
      <c r="A47" s="1" t="s">
        <v>19</v>
      </c>
      <c r="B47" s="1" t="s">
        <v>20</v>
      </c>
      <c r="C47" s="2" t="s">
        <v>111</v>
      </c>
      <c r="D47" s="2" t="s">
        <v>112</v>
      </c>
      <c r="E47" s="3">
        <v>5</v>
      </c>
      <c r="F47" s="3">
        <v>5</v>
      </c>
      <c r="G47" s="3">
        <v>5</v>
      </c>
      <c r="H47" s="4">
        <f>AVERAGE(E47:G47)</f>
        <v>5</v>
      </c>
      <c r="I47" s="5">
        <v>17</v>
      </c>
      <c r="J47" s="6">
        <v>8</v>
      </c>
      <c r="K47" s="6">
        <v>8</v>
      </c>
      <c r="L47" s="7" t="str">
        <f>IF(E47&gt;=4,"cumplimiento del indicador","no cumplimiento con el indicador")</f>
        <v>cumplimiento del indicador</v>
      </c>
      <c r="M47" s="7" t="str">
        <f>IF(F47&gt;=4,"cumplimiento del indicador","no cumplimiento con el indicador")</f>
        <v>cumplimiento del indicador</v>
      </c>
      <c r="N47" s="7" t="str">
        <f>IF(G47&gt;=4,"cumplimiento del indicador","no cumplimiento con el indicador")</f>
        <v>cumplimiento del indicador</v>
      </c>
      <c r="O47" s="7" t="e">
        <f>IF(#REF!&gt;=4,"cumplimiento del indicador","no cumplimiento con el indicador")</f>
        <v>#REF!</v>
      </c>
      <c r="P47" s="7" t="str">
        <f t="shared" si="3"/>
        <v>Cumplimiento en la evaluación de los indicadores.</v>
      </c>
      <c r="Q47" s="7" t="str">
        <f t="shared" si="4"/>
        <v>No se requiere plan de mejora.</v>
      </c>
      <c r="R47" s="7" t="str">
        <f t="shared" si="5"/>
        <v>Se evidencia cumplimiento en la evaluacion de los indicadores.</v>
      </c>
      <c r="S47" s="1" t="s">
        <v>20</v>
      </c>
    </row>
    <row r="48" spans="1:19" ht="18.75" customHeight="1" x14ac:dyDescent="0.25">
      <c r="A48" s="1" t="s">
        <v>19</v>
      </c>
      <c r="B48" s="1" t="s">
        <v>20</v>
      </c>
      <c r="C48" s="2" t="s">
        <v>113</v>
      </c>
      <c r="D48" s="2" t="s">
        <v>114</v>
      </c>
      <c r="E48" s="3">
        <v>5</v>
      </c>
      <c r="F48" s="3">
        <v>5</v>
      </c>
      <c r="G48" s="3">
        <v>5</v>
      </c>
      <c r="H48" s="4">
        <v>4</v>
      </c>
      <c r="I48" s="5">
        <v>17</v>
      </c>
      <c r="J48" s="6">
        <v>8</v>
      </c>
      <c r="K48" s="6">
        <v>8</v>
      </c>
      <c r="L48" s="7" t="str">
        <f>IF(E48&gt;=4,"cumplimiento del indicador","no cumplimiento con el indicador")</f>
        <v>cumplimiento del indicador</v>
      </c>
      <c r="M48" s="7" t="str">
        <f>IF(F48&gt;=4,"cumplimiento del indicador","no cumplimiento con el indicador")</f>
        <v>cumplimiento del indicador</v>
      </c>
      <c r="N48" s="7" t="str">
        <f>IF(G48&gt;=4,"cumplimiento del indicador","no cumplimiento con el indicador")</f>
        <v>cumplimiento del indicador</v>
      </c>
      <c r="O48" s="7" t="e">
        <f>IF(#REF!&gt;=4,"cumplimiento del indicador","no cumplimiento con el indicador")</f>
        <v>#REF!</v>
      </c>
      <c r="P48" s="7" t="str">
        <f t="shared" si="3"/>
        <v>Cumplimiento en la evaluación de los indicadores.</v>
      </c>
      <c r="Q48" s="7" t="str">
        <f t="shared" si="4"/>
        <v>No se requiere plan de mejora.</v>
      </c>
      <c r="R48" s="7" t="str">
        <f t="shared" si="5"/>
        <v>Se evidencia cumplimiento en la evaluacion de los indicadores.</v>
      </c>
      <c r="S48" s="1" t="s">
        <v>20</v>
      </c>
    </row>
    <row r="49" spans="1:19" ht="18.75" customHeight="1" x14ac:dyDescent="0.25">
      <c r="A49" s="1" t="s">
        <v>19</v>
      </c>
      <c r="B49" s="1" t="s">
        <v>20</v>
      </c>
      <c r="C49" s="2" t="s">
        <v>115</v>
      </c>
      <c r="D49" s="2" t="s">
        <v>116</v>
      </c>
      <c r="E49" s="3">
        <v>5</v>
      </c>
      <c r="F49" s="3">
        <v>5</v>
      </c>
      <c r="G49" s="3">
        <v>5</v>
      </c>
      <c r="H49" s="4">
        <v>4</v>
      </c>
      <c r="I49" s="5">
        <v>161</v>
      </c>
      <c r="J49" s="6">
        <v>80</v>
      </c>
      <c r="K49" s="6">
        <v>80</v>
      </c>
      <c r="L49" s="7" t="str">
        <f>IF(E49&gt;=4,"cumplimiento del indicador","no cumplimiento con el indicador")</f>
        <v>cumplimiento del indicador</v>
      </c>
      <c r="M49" s="7" t="str">
        <f>IF(F49&gt;=4,"cumplimiento del indicador","no cumplimiento con el indicador")</f>
        <v>cumplimiento del indicador</v>
      </c>
      <c r="N49" s="7" t="str">
        <f>IF(G49&gt;=4,"cumplimiento del indicador","no cumplimiento con el indicador")</f>
        <v>cumplimiento del indicador</v>
      </c>
      <c r="O49" s="7" t="e">
        <f>IF(#REF!&gt;=4,"cumplimiento del indicador","no cumplimiento con el indicador")</f>
        <v>#REF!</v>
      </c>
      <c r="P49" s="7" t="str">
        <f t="shared" si="3"/>
        <v>Cumplimiento en la evaluación de los indicadores.</v>
      </c>
      <c r="Q49" s="7" t="str">
        <f t="shared" si="4"/>
        <v>No se requiere plan de mejora.</v>
      </c>
      <c r="R49" s="7" t="str">
        <f t="shared" si="5"/>
        <v>Se evidencia cumplimiento en la evaluacion de los indicadores.</v>
      </c>
      <c r="S49" s="1" t="s">
        <v>20</v>
      </c>
    </row>
    <row r="50" spans="1:19" ht="18.75" customHeight="1" x14ac:dyDescent="0.25">
      <c r="A50" s="1" t="s">
        <v>19</v>
      </c>
      <c r="B50" s="1" t="s">
        <v>20</v>
      </c>
      <c r="C50" s="2" t="s">
        <v>117</v>
      </c>
      <c r="D50" s="2" t="s">
        <v>118</v>
      </c>
      <c r="E50" s="3">
        <v>5</v>
      </c>
      <c r="F50" s="3">
        <v>5</v>
      </c>
      <c r="G50" s="3">
        <v>5</v>
      </c>
      <c r="H50" s="4">
        <f>AVERAGE(E50:G50)</f>
        <v>5</v>
      </c>
      <c r="I50" s="5">
        <v>1448</v>
      </c>
      <c r="J50" s="6">
        <v>724</v>
      </c>
      <c r="K50" s="6">
        <v>724</v>
      </c>
      <c r="L50" s="7" t="str">
        <f>IF(E50&gt;=4,"cumplimiento del indicador","no cumplimiento con el indicador")</f>
        <v>cumplimiento del indicador</v>
      </c>
      <c r="M50" s="7" t="str">
        <f>IF(F50&gt;=4,"cumplimiento del indicador","no cumplimiento con el indicador")</f>
        <v>cumplimiento del indicador</v>
      </c>
      <c r="N50" s="7" t="str">
        <f>IF(G50&gt;=4,"cumplimiento del indicador","no cumplimiento con el indicador")</f>
        <v>cumplimiento del indicador</v>
      </c>
      <c r="O50" s="7" t="e">
        <f>IF(#REF!&gt;=4,"cumplimiento del indicador","no cumplimiento con el indicador")</f>
        <v>#REF!</v>
      </c>
      <c r="P50" s="7" t="str">
        <f t="shared" si="3"/>
        <v>Cumplimiento en la evaluación de los indicadores.</v>
      </c>
      <c r="Q50" s="7" t="str">
        <f t="shared" si="4"/>
        <v>No se requiere plan de mejora.</v>
      </c>
      <c r="R50" s="7" t="str">
        <f t="shared" si="5"/>
        <v>Se evidencia cumplimiento en la evaluacion de los indicadores.</v>
      </c>
      <c r="S50" s="1" t="s">
        <v>20</v>
      </c>
    </row>
    <row r="51" spans="1:19" ht="18.75" customHeight="1" x14ac:dyDescent="0.25">
      <c r="A51" s="1" t="s">
        <v>19</v>
      </c>
      <c r="B51" s="1" t="s">
        <v>20</v>
      </c>
      <c r="C51" s="2" t="s">
        <v>119</v>
      </c>
      <c r="D51" s="2" t="s">
        <v>120</v>
      </c>
      <c r="E51" s="3">
        <v>4</v>
      </c>
      <c r="F51" s="3">
        <v>4</v>
      </c>
      <c r="G51" s="3">
        <v>4</v>
      </c>
      <c r="H51" s="4">
        <f>AVERAGE(E51:G51)</f>
        <v>4</v>
      </c>
      <c r="I51" s="5">
        <v>33</v>
      </c>
      <c r="J51" s="6">
        <v>16</v>
      </c>
      <c r="K51" s="6">
        <v>16</v>
      </c>
      <c r="L51" s="7" t="str">
        <f>IF(E51&gt;=4,"cumplimiento del indicador","no cumplimiento con el indicador")</f>
        <v>cumplimiento del indicador</v>
      </c>
      <c r="M51" s="7" t="str">
        <f>IF(F51&gt;=4,"cumplimiento del indicador","no cumplimiento con el indicador")</f>
        <v>cumplimiento del indicador</v>
      </c>
      <c r="N51" s="7" t="str">
        <f>IF(G51&gt;=4,"cumplimiento del indicador","no cumplimiento con el indicador")</f>
        <v>cumplimiento del indicador</v>
      </c>
      <c r="O51" s="7" t="e">
        <f>IF(#REF!&gt;=4,"cumplimiento del indicador","no cumplimiento con el indicador")</f>
        <v>#REF!</v>
      </c>
      <c r="P51" s="7" t="str">
        <f t="shared" si="3"/>
        <v>Cumplimiento en la evaluación de los indicadores.</v>
      </c>
      <c r="Q51" s="7" t="str">
        <f t="shared" si="4"/>
        <v>No se requiere plan de mejora.</v>
      </c>
      <c r="R51" s="7" t="str">
        <f t="shared" si="5"/>
        <v>Se evidencia cumplimiento en la evaluacion de los indicadores.</v>
      </c>
      <c r="S51" s="1" t="s">
        <v>20</v>
      </c>
    </row>
    <row r="52" spans="1:19" ht="18.75" customHeight="1" x14ac:dyDescent="0.25">
      <c r="A52" s="1" t="s">
        <v>19</v>
      </c>
      <c r="B52" s="1" t="s">
        <v>20</v>
      </c>
      <c r="C52" s="2" t="s">
        <v>121</v>
      </c>
      <c r="D52" s="2" t="s">
        <v>122</v>
      </c>
      <c r="E52" s="3">
        <v>5</v>
      </c>
      <c r="F52" s="3">
        <v>5</v>
      </c>
      <c r="G52" s="3">
        <v>5</v>
      </c>
      <c r="H52" s="4">
        <v>4</v>
      </c>
      <c r="I52" s="5">
        <v>55</v>
      </c>
      <c r="J52" s="6">
        <v>27</v>
      </c>
      <c r="K52" s="6">
        <v>27</v>
      </c>
      <c r="L52" s="7" t="str">
        <f>IF(E52&gt;=4,"cumplimiento del indicador","no cumplimiento con el indicador")</f>
        <v>cumplimiento del indicador</v>
      </c>
      <c r="M52" s="7" t="str">
        <f>IF(F52&gt;=4,"cumplimiento del indicador","no cumplimiento con el indicador")</f>
        <v>cumplimiento del indicador</v>
      </c>
      <c r="N52" s="7" t="str">
        <f>IF(G52&gt;=4,"cumplimiento del indicador","no cumplimiento con el indicador")</f>
        <v>cumplimiento del indicador</v>
      </c>
      <c r="O52" s="7" t="e">
        <f>IF(#REF!&gt;=4,"cumplimiento del indicador","no cumplimiento con el indicador")</f>
        <v>#REF!</v>
      </c>
      <c r="P52" s="7" t="str">
        <f t="shared" si="3"/>
        <v>Cumplimiento en la evaluación de los indicadores.</v>
      </c>
      <c r="Q52" s="7" t="str">
        <f t="shared" si="4"/>
        <v>No se requiere plan de mejora.</v>
      </c>
      <c r="R52" s="7" t="str">
        <f t="shared" si="5"/>
        <v>Se evidencia cumplimiento en la evaluacion de los indicadores.</v>
      </c>
      <c r="S52" s="1" t="s">
        <v>20</v>
      </c>
    </row>
    <row r="53" spans="1:19" ht="18.75" customHeight="1" x14ac:dyDescent="0.25">
      <c r="A53" s="1" t="s">
        <v>19</v>
      </c>
      <c r="B53" s="1" t="s">
        <v>20</v>
      </c>
      <c r="C53" s="2" t="s">
        <v>123</v>
      </c>
      <c r="D53" s="2" t="s">
        <v>124</v>
      </c>
      <c r="E53" s="3">
        <v>5</v>
      </c>
      <c r="F53" s="3">
        <v>5</v>
      </c>
      <c r="G53" s="3">
        <v>5</v>
      </c>
      <c r="H53" s="4">
        <v>4</v>
      </c>
      <c r="I53" s="5">
        <v>147</v>
      </c>
      <c r="J53" s="6">
        <v>73</v>
      </c>
      <c r="K53" s="6">
        <v>73</v>
      </c>
      <c r="L53" s="7" t="str">
        <f>IF(E53&gt;=4,"cumplimiento del indicador","no cumplimiento con el indicador")</f>
        <v>cumplimiento del indicador</v>
      </c>
      <c r="M53" s="7" t="str">
        <f>IF(F53&gt;=4,"cumplimiento del indicador","no cumplimiento con el indicador")</f>
        <v>cumplimiento del indicador</v>
      </c>
      <c r="N53" s="7" t="str">
        <f>IF(G53&gt;=4,"cumplimiento del indicador","no cumplimiento con el indicador")</f>
        <v>cumplimiento del indicador</v>
      </c>
      <c r="O53" s="7" t="e">
        <f>IF(#REF!&gt;=4,"cumplimiento del indicador","no cumplimiento con el indicador")</f>
        <v>#REF!</v>
      </c>
      <c r="P53" s="7" t="str">
        <f t="shared" si="3"/>
        <v>Cumplimiento en la evaluación de los indicadores.</v>
      </c>
      <c r="Q53" s="7" t="str">
        <f t="shared" si="4"/>
        <v>No se requiere plan de mejora.</v>
      </c>
      <c r="R53" s="7" t="str">
        <f t="shared" si="5"/>
        <v>Se evidencia cumplimiento en la evaluacion de los indicadores.</v>
      </c>
      <c r="S53" s="1" t="s">
        <v>20</v>
      </c>
    </row>
    <row r="54" spans="1:19" ht="18.75" customHeight="1" x14ac:dyDescent="0.25">
      <c r="A54" s="1" t="s">
        <v>19</v>
      </c>
      <c r="B54" s="1" t="s">
        <v>20</v>
      </c>
      <c r="C54" s="2" t="s">
        <v>125</v>
      </c>
      <c r="D54" s="2" t="s">
        <v>126</v>
      </c>
      <c r="E54" s="3">
        <v>5</v>
      </c>
      <c r="F54" s="3">
        <v>5</v>
      </c>
      <c r="G54" s="3">
        <v>5</v>
      </c>
      <c r="H54" s="4">
        <v>4</v>
      </c>
      <c r="I54" s="5">
        <v>112</v>
      </c>
      <c r="J54" s="6">
        <v>56</v>
      </c>
      <c r="K54" s="6">
        <v>56</v>
      </c>
      <c r="L54" s="7" t="str">
        <f>IF(E54&gt;=4,"cumplimiento del indicador","no cumplimiento con el indicador")</f>
        <v>cumplimiento del indicador</v>
      </c>
      <c r="M54" s="7" t="str">
        <f>IF(F54&gt;=4,"cumplimiento del indicador","no cumplimiento con el indicador")</f>
        <v>cumplimiento del indicador</v>
      </c>
      <c r="N54" s="7" t="str">
        <f>IF(G54&gt;=4,"cumplimiento del indicador","no cumplimiento con el indicador")</f>
        <v>cumplimiento del indicador</v>
      </c>
      <c r="O54" s="7" t="e">
        <f>IF(#REF!&gt;=4,"cumplimiento del indicador","no cumplimiento con el indicador")</f>
        <v>#REF!</v>
      </c>
      <c r="P54" s="7" t="str">
        <f t="shared" si="3"/>
        <v>Cumplimiento en la evaluación de los indicadores.</v>
      </c>
      <c r="Q54" s="7" t="str">
        <f t="shared" si="4"/>
        <v>No se requiere plan de mejora.</v>
      </c>
      <c r="R54" s="7" t="str">
        <f t="shared" si="5"/>
        <v>Se evidencia cumplimiento en la evaluacion de los indicadores.</v>
      </c>
      <c r="S54" s="1" t="s">
        <v>20</v>
      </c>
    </row>
    <row r="55" spans="1:19" ht="18.75" customHeight="1" x14ac:dyDescent="0.25">
      <c r="A55" s="1" t="s">
        <v>19</v>
      </c>
      <c r="B55" s="1" t="s">
        <v>20</v>
      </c>
      <c r="C55" s="2" t="s">
        <v>127</v>
      </c>
      <c r="D55" s="2" t="s">
        <v>128</v>
      </c>
      <c r="E55" s="3">
        <v>5</v>
      </c>
      <c r="F55" s="3">
        <v>5</v>
      </c>
      <c r="G55" s="3">
        <v>5</v>
      </c>
      <c r="H55" s="4">
        <v>4</v>
      </c>
      <c r="I55" s="5">
        <v>162</v>
      </c>
      <c r="J55" s="6">
        <v>81</v>
      </c>
      <c r="K55" s="6">
        <v>81</v>
      </c>
      <c r="L55" s="7" t="str">
        <f>IF(E55&gt;=4,"cumplimiento del indicador","no cumplimiento con el indicador")</f>
        <v>cumplimiento del indicador</v>
      </c>
      <c r="M55" s="7" t="str">
        <f>IF(F55&gt;=4,"cumplimiento del indicador","no cumplimiento con el indicador")</f>
        <v>cumplimiento del indicador</v>
      </c>
      <c r="N55" s="7" t="str">
        <f>IF(G55&gt;=4,"cumplimiento del indicador","no cumplimiento con el indicador")</f>
        <v>cumplimiento del indicador</v>
      </c>
      <c r="O55" s="7" t="e">
        <f>IF(#REF!&gt;=4,"cumplimiento del indicador","no cumplimiento con el indicador")</f>
        <v>#REF!</v>
      </c>
      <c r="P55" s="7" t="str">
        <f t="shared" si="3"/>
        <v>Cumplimiento en la evaluación de los indicadores.</v>
      </c>
      <c r="Q55" s="7" t="str">
        <f t="shared" si="4"/>
        <v>No se requiere plan de mejora.</v>
      </c>
      <c r="R55" s="7" t="str">
        <f t="shared" si="5"/>
        <v>Se evidencia cumplimiento en la evaluacion de los indicadores.</v>
      </c>
      <c r="S55" s="1" t="s">
        <v>20</v>
      </c>
    </row>
    <row r="56" spans="1:19" ht="18.75" customHeight="1" x14ac:dyDescent="0.25">
      <c r="A56" s="1" t="s">
        <v>19</v>
      </c>
      <c r="B56" s="1" t="s">
        <v>20</v>
      </c>
      <c r="C56" s="2" t="s">
        <v>129</v>
      </c>
      <c r="D56" s="2" t="s">
        <v>130</v>
      </c>
      <c r="E56" s="3">
        <v>5</v>
      </c>
      <c r="F56" s="3">
        <v>5</v>
      </c>
      <c r="G56" s="3">
        <v>5</v>
      </c>
      <c r="H56" s="4">
        <f>AVERAGE(E56:G56)</f>
        <v>5</v>
      </c>
      <c r="I56" s="5">
        <v>66</v>
      </c>
      <c r="J56" s="6">
        <v>33</v>
      </c>
      <c r="K56" s="6">
        <v>33</v>
      </c>
      <c r="L56" s="7" t="str">
        <f>IF(E56&gt;=4,"cumplimiento del indicador","no cumplimiento con el indicador")</f>
        <v>cumplimiento del indicador</v>
      </c>
      <c r="M56" s="7" t="str">
        <f>IF(F56&gt;=4,"cumplimiento del indicador","no cumplimiento con el indicador")</f>
        <v>cumplimiento del indicador</v>
      </c>
      <c r="N56" s="7" t="str">
        <f>IF(G56&gt;=4,"cumplimiento del indicador","no cumplimiento con el indicador")</f>
        <v>cumplimiento del indicador</v>
      </c>
      <c r="O56" s="7" t="e">
        <f>IF(#REF!&gt;=4,"cumplimiento del indicador","no cumplimiento con el indicador")</f>
        <v>#REF!</v>
      </c>
      <c r="P56" s="7" t="str">
        <f t="shared" si="3"/>
        <v>Cumplimiento en la evaluación de los indicadores.</v>
      </c>
      <c r="Q56" s="7" t="str">
        <f t="shared" si="4"/>
        <v>No se requiere plan de mejora.</v>
      </c>
      <c r="R56" s="7" t="str">
        <f t="shared" si="5"/>
        <v>Se evidencia cumplimiento en la evaluacion de los indicadores.</v>
      </c>
      <c r="S56" s="1" t="s">
        <v>20</v>
      </c>
    </row>
    <row r="57" spans="1:19" ht="18.75" customHeight="1" x14ac:dyDescent="0.25">
      <c r="A57" s="1" t="s">
        <v>19</v>
      </c>
      <c r="B57" s="1" t="s">
        <v>20</v>
      </c>
      <c r="C57" s="2" t="s">
        <v>131</v>
      </c>
      <c r="D57" s="2" t="s">
        <v>132</v>
      </c>
      <c r="E57" s="3">
        <v>5</v>
      </c>
      <c r="F57" s="3">
        <v>5</v>
      </c>
      <c r="G57" s="3">
        <v>5</v>
      </c>
      <c r="H57" s="4">
        <v>4</v>
      </c>
      <c r="I57" s="5">
        <v>280</v>
      </c>
      <c r="J57" s="6">
        <v>140</v>
      </c>
      <c r="K57" s="6">
        <v>140</v>
      </c>
      <c r="L57" s="7" t="str">
        <f>IF(E57&gt;=4,"cumplimiento del indicador","no cumplimiento con el indicador")</f>
        <v>cumplimiento del indicador</v>
      </c>
      <c r="M57" s="7" t="str">
        <f>IF(F57&gt;=4,"cumplimiento del indicador","no cumplimiento con el indicador")</f>
        <v>cumplimiento del indicador</v>
      </c>
      <c r="N57" s="7" t="str">
        <f>IF(G57&gt;=4,"cumplimiento del indicador","no cumplimiento con el indicador")</f>
        <v>cumplimiento del indicador</v>
      </c>
      <c r="O57" s="7" t="e">
        <f>IF(#REF!&gt;=4,"cumplimiento del indicador","no cumplimiento con el indicador")</f>
        <v>#REF!</v>
      </c>
      <c r="P57" s="7" t="str">
        <f t="shared" si="3"/>
        <v>Cumplimiento en la evaluación de los indicadores.</v>
      </c>
      <c r="Q57" s="7" t="str">
        <f t="shared" si="4"/>
        <v>No se requiere plan de mejora.</v>
      </c>
      <c r="R57" s="7" t="str">
        <f t="shared" si="5"/>
        <v>Se evidencia cumplimiento en la evaluacion de los indicadores.</v>
      </c>
      <c r="S57" s="1" t="s">
        <v>20</v>
      </c>
    </row>
    <row r="58" spans="1:19" ht="18.75" customHeight="1" x14ac:dyDescent="0.25">
      <c r="A58" s="1" t="s">
        <v>19</v>
      </c>
      <c r="B58" s="1" t="s">
        <v>20</v>
      </c>
      <c r="C58" s="2" t="s">
        <v>133</v>
      </c>
      <c r="D58" s="2" t="s">
        <v>134</v>
      </c>
      <c r="E58" s="3">
        <v>5</v>
      </c>
      <c r="F58" s="3">
        <v>5</v>
      </c>
      <c r="G58" s="3">
        <v>5</v>
      </c>
      <c r="H58" s="4">
        <v>4</v>
      </c>
      <c r="I58" s="5">
        <v>102</v>
      </c>
      <c r="J58" s="6">
        <v>51</v>
      </c>
      <c r="K58" s="6">
        <v>51</v>
      </c>
      <c r="L58" s="7" t="str">
        <f>IF(E58&gt;=4,"cumplimiento del indicador","no cumplimiento con el indicador")</f>
        <v>cumplimiento del indicador</v>
      </c>
      <c r="M58" s="7" t="str">
        <f>IF(F58&gt;=4,"cumplimiento del indicador","no cumplimiento con el indicador")</f>
        <v>cumplimiento del indicador</v>
      </c>
      <c r="N58" s="7" t="str">
        <f>IF(G58&gt;=4,"cumplimiento del indicador","no cumplimiento con el indicador")</f>
        <v>cumplimiento del indicador</v>
      </c>
      <c r="O58" s="7" t="e">
        <f>IF(#REF!&gt;=4,"cumplimiento del indicador","no cumplimiento con el indicador")</f>
        <v>#REF!</v>
      </c>
      <c r="P58" s="7" t="str">
        <f t="shared" si="3"/>
        <v>Cumplimiento en la evaluación de los indicadores.</v>
      </c>
      <c r="Q58" s="7" t="str">
        <f t="shared" si="4"/>
        <v>No se requiere plan de mejora.</v>
      </c>
      <c r="R58" s="7" t="str">
        <f t="shared" si="5"/>
        <v>Se evidencia cumplimiento en la evaluacion de los indicadores.</v>
      </c>
      <c r="S58" s="1" t="s">
        <v>20</v>
      </c>
    </row>
    <row r="59" spans="1:19" ht="18.75" customHeight="1" x14ac:dyDescent="0.25">
      <c r="A59" s="1" t="s">
        <v>19</v>
      </c>
      <c r="B59" s="1" t="s">
        <v>20</v>
      </c>
      <c r="C59" s="2" t="s">
        <v>135</v>
      </c>
      <c r="D59" s="2" t="s">
        <v>136</v>
      </c>
      <c r="E59" s="3">
        <v>5</v>
      </c>
      <c r="F59" s="3">
        <v>5</v>
      </c>
      <c r="G59" s="3">
        <v>5</v>
      </c>
      <c r="H59" s="4">
        <f>AVERAGE(E59:G59)</f>
        <v>5</v>
      </c>
      <c r="I59" s="5">
        <v>47</v>
      </c>
      <c r="J59" s="6">
        <v>23</v>
      </c>
      <c r="K59" s="6">
        <v>23</v>
      </c>
      <c r="L59" s="7" t="str">
        <f>IF(E59&gt;=4,"cumplimiento del indicador","no cumplimiento con el indicador")</f>
        <v>cumplimiento del indicador</v>
      </c>
      <c r="M59" s="7" t="str">
        <f>IF(F59&gt;=4,"cumplimiento del indicador","no cumplimiento con el indicador")</f>
        <v>cumplimiento del indicador</v>
      </c>
      <c r="N59" s="7" t="str">
        <f>IF(G59&gt;=4,"cumplimiento del indicador","no cumplimiento con el indicador")</f>
        <v>cumplimiento del indicador</v>
      </c>
      <c r="O59" s="7" t="e">
        <f>IF(#REF!&gt;=4,"cumplimiento del indicador","no cumplimiento con el indicador")</f>
        <v>#REF!</v>
      </c>
      <c r="P59" s="7" t="str">
        <f t="shared" si="3"/>
        <v>Cumplimiento en la evaluación de los indicadores.</v>
      </c>
      <c r="Q59" s="7" t="str">
        <f t="shared" si="4"/>
        <v>No se requiere plan de mejora.</v>
      </c>
      <c r="R59" s="7" t="str">
        <f t="shared" si="5"/>
        <v>Se evidencia cumplimiento en la evaluacion de los indicadores.</v>
      </c>
      <c r="S59" s="1" t="s">
        <v>20</v>
      </c>
    </row>
    <row r="60" spans="1:19" ht="18.75" customHeight="1" x14ac:dyDescent="0.25">
      <c r="A60" s="1" t="s">
        <v>19</v>
      </c>
      <c r="B60" s="1" t="s">
        <v>20</v>
      </c>
      <c r="C60" s="2" t="s">
        <v>137</v>
      </c>
      <c r="D60" s="2" t="s">
        <v>138</v>
      </c>
      <c r="E60" s="3">
        <v>5</v>
      </c>
      <c r="F60" s="3">
        <v>5</v>
      </c>
      <c r="G60" s="3">
        <v>5</v>
      </c>
      <c r="H60" s="4">
        <v>4</v>
      </c>
      <c r="I60" s="5">
        <v>583</v>
      </c>
      <c r="J60" s="6">
        <v>291</v>
      </c>
      <c r="K60" s="6">
        <v>291</v>
      </c>
      <c r="L60" s="7" t="str">
        <f>IF(E60&gt;=4,"cumplimiento del indicador","no cumplimiento con el indicador")</f>
        <v>cumplimiento del indicador</v>
      </c>
      <c r="M60" s="7" t="str">
        <f>IF(F60&gt;=4,"cumplimiento del indicador","no cumplimiento con el indicador")</f>
        <v>cumplimiento del indicador</v>
      </c>
      <c r="N60" s="7" t="str">
        <f>IF(G60&gt;=4,"cumplimiento del indicador","no cumplimiento con el indicador")</f>
        <v>cumplimiento del indicador</v>
      </c>
      <c r="O60" s="7" t="e">
        <f>IF(#REF!&gt;=4,"cumplimiento del indicador","no cumplimiento con el indicador")</f>
        <v>#REF!</v>
      </c>
      <c r="P60" s="7" t="str">
        <f t="shared" si="3"/>
        <v>Cumplimiento en la evaluación de los indicadores.</v>
      </c>
      <c r="Q60" s="7" t="str">
        <f t="shared" si="4"/>
        <v>No se requiere plan de mejora.</v>
      </c>
      <c r="R60" s="7" t="str">
        <f t="shared" si="5"/>
        <v>Se evidencia cumplimiento en la evaluacion de los indicadores.</v>
      </c>
      <c r="S60" s="1" t="s">
        <v>20</v>
      </c>
    </row>
    <row r="61" spans="1:19" ht="18.75" customHeight="1" x14ac:dyDescent="0.25">
      <c r="A61" s="1" t="s">
        <v>19</v>
      </c>
      <c r="B61" s="1" t="s">
        <v>20</v>
      </c>
      <c r="C61" s="2" t="s">
        <v>139</v>
      </c>
      <c r="D61" s="2" t="s">
        <v>140</v>
      </c>
      <c r="E61" s="3">
        <v>5</v>
      </c>
      <c r="F61" s="3">
        <v>5</v>
      </c>
      <c r="G61" s="3">
        <v>5</v>
      </c>
      <c r="H61" s="4">
        <v>4</v>
      </c>
      <c r="I61" s="5">
        <v>98</v>
      </c>
      <c r="J61" s="6">
        <v>49</v>
      </c>
      <c r="K61" s="6">
        <v>49</v>
      </c>
      <c r="L61" s="7" t="str">
        <f>IF(E61&gt;=4,"cumplimiento del indicador","no cumplimiento con el indicador")</f>
        <v>cumplimiento del indicador</v>
      </c>
      <c r="M61" s="7" t="str">
        <f>IF(F61&gt;=4,"cumplimiento del indicador","no cumplimiento con el indicador")</f>
        <v>cumplimiento del indicador</v>
      </c>
      <c r="N61" s="7" t="str">
        <f>IF(G61&gt;=4,"cumplimiento del indicador","no cumplimiento con el indicador")</f>
        <v>cumplimiento del indicador</v>
      </c>
      <c r="O61" s="7" t="e">
        <f>IF(#REF!&gt;=4,"cumplimiento del indicador","no cumplimiento con el indicador")</f>
        <v>#REF!</v>
      </c>
      <c r="P61" s="7" t="str">
        <f t="shared" si="3"/>
        <v>Cumplimiento en la evaluación de los indicadores.</v>
      </c>
      <c r="Q61" s="7" t="str">
        <f t="shared" si="4"/>
        <v>No se requiere plan de mejora.</v>
      </c>
      <c r="R61" s="7" t="str">
        <f t="shared" si="5"/>
        <v>Se evidencia cumplimiento en la evaluacion de los indicadores.</v>
      </c>
      <c r="S61" s="1" t="s">
        <v>20</v>
      </c>
    </row>
    <row r="62" spans="1:19" ht="18.75" customHeight="1" x14ac:dyDescent="0.25">
      <c r="A62" s="1" t="s">
        <v>19</v>
      </c>
      <c r="B62" s="1" t="s">
        <v>20</v>
      </c>
      <c r="C62" s="2" t="s">
        <v>141</v>
      </c>
      <c r="D62" s="2" t="s">
        <v>142</v>
      </c>
      <c r="E62" s="3">
        <v>4</v>
      </c>
      <c r="F62" s="3">
        <v>4</v>
      </c>
      <c r="G62" s="3">
        <v>4</v>
      </c>
      <c r="H62" s="4">
        <v>4</v>
      </c>
      <c r="I62" s="5">
        <v>74</v>
      </c>
      <c r="J62" s="6">
        <v>37</v>
      </c>
      <c r="K62" s="6">
        <v>37</v>
      </c>
      <c r="L62" s="7" t="str">
        <f>IF(E62&gt;=4,"cumplimiento del indicador","no cumplimiento con el indicador")</f>
        <v>cumplimiento del indicador</v>
      </c>
      <c r="M62" s="7" t="str">
        <f>IF(F62&gt;=4,"cumplimiento del indicador","no cumplimiento con el indicador")</f>
        <v>cumplimiento del indicador</v>
      </c>
      <c r="N62" s="7" t="str">
        <f>IF(G62&gt;=4,"cumplimiento del indicador","no cumplimiento con el indicador")</f>
        <v>cumplimiento del indicador</v>
      </c>
      <c r="O62" s="7" t="e">
        <f>IF(#REF!&gt;=4,"cumplimiento del indicador","no cumplimiento con el indicador")</f>
        <v>#REF!</v>
      </c>
      <c r="P62" s="7" t="str">
        <f t="shared" si="3"/>
        <v>Cumplimiento en la evaluación de los indicadores.</v>
      </c>
      <c r="Q62" s="7" t="str">
        <f t="shared" si="4"/>
        <v>No se requiere plan de mejora.</v>
      </c>
      <c r="R62" s="7" t="str">
        <f t="shared" si="5"/>
        <v>Se evidencia cumplimiento en la evaluacion de los indicadores.</v>
      </c>
      <c r="S62" s="1" t="s">
        <v>20</v>
      </c>
    </row>
    <row r="63" spans="1:19" ht="18.75" customHeight="1" x14ac:dyDescent="0.25">
      <c r="A63" s="1" t="s">
        <v>19</v>
      </c>
      <c r="B63" s="1" t="s">
        <v>20</v>
      </c>
      <c r="C63" s="2" t="s">
        <v>143</v>
      </c>
      <c r="D63" s="2" t="s">
        <v>144</v>
      </c>
      <c r="E63" s="3">
        <v>5</v>
      </c>
      <c r="F63" s="3">
        <v>5</v>
      </c>
      <c r="G63" s="3">
        <v>5</v>
      </c>
      <c r="H63" s="4">
        <f>AVERAGE(E63:G63)</f>
        <v>5</v>
      </c>
      <c r="I63" s="5">
        <v>84</v>
      </c>
      <c r="J63" s="6">
        <v>42</v>
      </c>
      <c r="K63" s="6">
        <v>42</v>
      </c>
      <c r="L63" s="7" t="str">
        <f>IF(E63&gt;=4,"cumplimiento del indicador","no cumplimiento con el indicador")</f>
        <v>cumplimiento del indicador</v>
      </c>
      <c r="M63" s="7" t="str">
        <f>IF(F63&gt;=4,"cumplimiento del indicador","no cumplimiento con el indicador")</f>
        <v>cumplimiento del indicador</v>
      </c>
      <c r="N63" s="7" t="str">
        <f>IF(G63&gt;=4,"cumplimiento del indicador","no cumplimiento con el indicador")</f>
        <v>cumplimiento del indicador</v>
      </c>
      <c r="O63" s="7" t="e">
        <f>IF(#REF!&gt;=4,"cumplimiento del indicador","no cumplimiento con el indicador")</f>
        <v>#REF!</v>
      </c>
      <c r="P63" s="7" t="str">
        <f t="shared" si="3"/>
        <v>Cumplimiento en la evaluación de los indicadores.</v>
      </c>
      <c r="Q63" s="7" t="str">
        <f t="shared" si="4"/>
        <v>No se requiere plan de mejora.</v>
      </c>
      <c r="R63" s="7" t="str">
        <f t="shared" si="5"/>
        <v>Se evidencia cumplimiento en la evaluacion de los indicadores.</v>
      </c>
      <c r="S63" s="1" t="s">
        <v>20</v>
      </c>
    </row>
    <row r="64" spans="1:19" ht="18.75" customHeight="1" x14ac:dyDescent="0.25">
      <c r="A64" s="1" t="s">
        <v>19</v>
      </c>
      <c r="B64" s="1" t="s">
        <v>20</v>
      </c>
      <c r="C64" s="2" t="s">
        <v>145</v>
      </c>
      <c r="D64" s="2" t="s">
        <v>146</v>
      </c>
      <c r="E64" s="3">
        <v>5</v>
      </c>
      <c r="F64" s="3">
        <v>5</v>
      </c>
      <c r="G64" s="3">
        <v>5</v>
      </c>
      <c r="H64" s="4">
        <v>4</v>
      </c>
      <c r="I64" s="5">
        <v>209</v>
      </c>
      <c r="J64" s="6">
        <v>104</v>
      </c>
      <c r="K64" s="6">
        <v>104</v>
      </c>
      <c r="L64" s="7" t="str">
        <f>IF(E64&gt;=4,"cumplimiento del indicador","no cumplimiento con el indicador")</f>
        <v>cumplimiento del indicador</v>
      </c>
      <c r="M64" s="7" t="str">
        <f>IF(F64&gt;=4,"cumplimiento del indicador","no cumplimiento con el indicador")</f>
        <v>cumplimiento del indicador</v>
      </c>
      <c r="N64" s="7" t="str">
        <f>IF(G64&gt;=4,"cumplimiento del indicador","no cumplimiento con el indicador")</f>
        <v>cumplimiento del indicador</v>
      </c>
      <c r="O64" s="7" t="e">
        <f>IF(#REF!&gt;=4,"cumplimiento del indicador","no cumplimiento con el indicador")</f>
        <v>#REF!</v>
      </c>
      <c r="P64" s="7" t="str">
        <f t="shared" si="3"/>
        <v>Cumplimiento en la evaluación de los indicadores.</v>
      </c>
      <c r="Q64" s="7" t="str">
        <f t="shared" si="4"/>
        <v>No se requiere plan de mejora.</v>
      </c>
      <c r="R64" s="7" t="str">
        <f t="shared" si="5"/>
        <v>Se evidencia cumplimiento en la evaluacion de los indicadores.</v>
      </c>
      <c r="S64" s="1" t="s">
        <v>20</v>
      </c>
    </row>
    <row r="65" spans="1:19" ht="18.75" customHeight="1" x14ac:dyDescent="0.25">
      <c r="A65" s="1" t="s">
        <v>19</v>
      </c>
      <c r="B65" s="1" t="s">
        <v>20</v>
      </c>
      <c r="C65" s="2" t="s">
        <v>147</v>
      </c>
      <c r="D65" s="2" t="s">
        <v>148</v>
      </c>
      <c r="E65" s="3">
        <v>5</v>
      </c>
      <c r="F65" s="3">
        <v>5</v>
      </c>
      <c r="G65" s="3">
        <v>5</v>
      </c>
      <c r="H65" s="4">
        <f>AVERAGE(E65:G65)</f>
        <v>5</v>
      </c>
      <c r="I65" s="5">
        <v>9</v>
      </c>
      <c r="J65" s="6">
        <v>4</v>
      </c>
      <c r="K65" s="6">
        <v>4</v>
      </c>
      <c r="L65" s="7" t="str">
        <f>IF(E65&gt;=4,"cumplimiento del indicador","no cumplimiento con el indicador")</f>
        <v>cumplimiento del indicador</v>
      </c>
      <c r="M65" s="7" t="str">
        <f>IF(F65&gt;=4,"cumplimiento del indicador","no cumplimiento con el indicador")</f>
        <v>cumplimiento del indicador</v>
      </c>
      <c r="N65" s="7" t="str">
        <f>IF(G65&gt;=4,"cumplimiento del indicador","no cumplimiento con el indicador")</f>
        <v>cumplimiento del indicador</v>
      </c>
      <c r="O65" s="7" t="e">
        <f>IF(#REF!&gt;=4,"cumplimiento del indicador","no cumplimiento con el indicador")</f>
        <v>#REF!</v>
      </c>
      <c r="P65" s="7" t="str">
        <f t="shared" si="3"/>
        <v>Cumplimiento en la evaluación de los indicadores.</v>
      </c>
      <c r="Q65" s="7" t="str">
        <f t="shared" si="4"/>
        <v>No se requiere plan de mejora.</v>
      </c>
      <c r="R65" s="7" t="str">
        <f t="shared" si="5"/>
        <v>Se evidencia cumplimiento en la evaluacion de los indicadores.</v>
      </c>
      <c r="S65" s="1" t="s">
        <v>20</v>
      </c>
    </row>
    <row r="66" spans="1:19" ht="18.75" customHeight="1" x14ac:dyDescent="0.25">
      <c r="A66" s="1" t="s">
        <v>19</v>
      </c>
      <c r="B66" s="1" t="s">
        <v>20</v>
      </c>
      <c r="C66" s="2" t="s">
        <v>149</v>
      </c>
      <c r="D66" s="2" t="s">
        <v>150</v>
      </c>
      <c r="E66" s="3">
        <v>4</v>
      </c>
      <c r="F66" s="3">
        <v>4</v>
      </c>
      <c r="G66" s="3">
        <v>4</v>
      </c>
      <c r="H66" s="4">
        <v>4</v>
      </c>
      <c r="I66" s="5">
        <v>631</v>
      </c>
      <c r="J66" s="6">
        <v>315</v>
      </c>
      <c r="K66" s="6">
        <v>315</v>
      </c>
      <c r="L66" s="7" t="str">
        <f>IF(E66&gt;=4,"cumplimiento del indicador","no cumplimiento con el indicador")</f>
        <v>cumplimiento del indicador</v>
      </c>
      <c r="M66" s="7" t="str">
        <f>IF(F66&gt;=4,"cumplimiento del indicador","no cumplimiento con el indicador")</f>
        <v>cumplimiento del indicador</v>
      </c>
      <c r="N66" s="7" t="str">
        <f>IF(G66&gt;=4,"cumplimiento del indicador","no cumplimiento con el indicador")</f>
        <v>cumplimiento del indicador</v>
      </c>
      <c r="O66" s="7" t="e">
        <f>IF(#REF!&gt;=4,"cumplimiento del indicador","no cumplimiento con el indicador")</f>
        <v>#REF!</v>
      </c>
      <c r="P66" s="7" t="str">
        <f t="shared" si="3"/>
        <v>Cumplimiento en la evaluación de los indicadores.</v>
      </c>
      <c r="Q66" s="7" t="str">
        <f t="shared" si="4"/>
        <v>No se requiere plan de mejora.</v>
      </c>
      <c r="R66" s="7" t="str">
        <f t="shared" si="5"/>
        <v>Se evidencia cumplimiento en la evaluacion de los indicadores.</v>
      </c>
      <c r="S66" s="1" t="s">
        <v>20</v>
      </c>
    </row>
    <row r="67" spans="1:19" ht="18.75" customHeight="1" x14ac:dyDescent="0.25">
      <c r="A67" s="1" t="s">
        <v>19</v>
      </c>
      <c r="B67" s="1" t="s">
        <v>20</v>
      </c>
      <c r="C67" s="2" t="s">
        <v>151</v>
      </c>
      <c r="D67" s="2" t="s">
        <v>152</v>
      </c>
      <c r="E67" s="3">
        <v>5</v>
      </c>
      <c r="F67" s="3">
        <v>5</v>
      </c>
      <c r="G67" s="3">
        <v>5</v>
      </c>
      <c r="H67" s="4">
        <f>AVERAGE(E67:G67)</f>
        <v>5</v>
      </c>
      <c r="I67" s="5">
        <v>34</v>
      </c>
      <c r="J67" s="6">
        <v>17</v>
      </c>
      <c r="K67" s="6">
        <v>17</v>
      </c>
      <c r="L67" s="7" t="str">
        <f>IF(E67&gt;=4,"cumplimiento del indicador","no cumplimiento con el indicador")</f>
        <v>cumplimiento del indicador</v>
      </c>
      <c r="M67" s="7" t="str">
        <f>IF(F67&gt;=4,"cumplimiento del indicador","no cumplimiento con el indicador")</f>
        <v>cumplimiento del indicador</v>
      </c>
      <c r="N67" s="7" t="str">
        <f>IF(G67&gt;=4,"cumplimiento del indicador","no cumplimiento con el indicador")</f>
        <v>cumplimiento del indicador</v>
      </c>
      <c r="O67" s="7" t="e">
        <f>IF(#REF!&gt;=4,"cumplimiento del indicador","no cumplimiento con el indicador")</f>
        <v>#REF!</v>
      </c>
      <c r="P67" s="7" t="str">
        <f t="shared" si="3"/>
        <v>Cumplimiento en la evaluación de los indicadores.</v>
      </c>
      <c r="Q67" s="7" t="str">
        <f t="shared" si="4"/>
        <v>No se requiere plan de mejora.</v>
      </c>
      <c r="R67" s="7" t="str">
        <f t="shared" si="5"/>
        <v>Se evidencia cumplimiento en la evaluacion de los indicadores.</v>
      </c>
      <c r="S67" s="1" t="s">
        <v>20</v>
      </c>
    </row>
    <row r="68" spans="1:19" ht="18.75" customHeight="1" x14ac:dyDescent="0.25">
      <c r="A68" s="1" t="s">
        <v>19</v>
      </c>
      <c r="B68" s="1" t="s">
        <v>20</v>
      </c>
      <c r="C68" s="2" t="s">
        <v>153</v>
      </c>
      <c r="D68" s="2" t="s">
        <v>154</v>
      </c>
      <c r="E68" s="3">
        <v>5</v>
      </c>
      <c r="F68" s="3">
        <v>5</v>
      </c>
      <c r="G68" s="3">
        <v>5</v>
      </c>
      <c r="H68" s="4">
        <f>AVERAGE(E68:G68)</f>
        <v>5</v>
      </c>
      <c r="I68" s="5">
        <v>162</v>
      </c>
      <c r="J68" s="6">
        <v>81</v>
      </c>
      <c r="K68" s="6">
        <v>81</v>
      </c>
      <c r="L68" s="7" t="str">
        <f>IF(E68&gt;=4,"cumplimiento del indicador","no cumplimiento con el indicador")</f>
        <v>cumplimiento del indicador</v>
      </c>
      <c r="M68" s="7" t="str">
        <f>IF(F68&gt;=4,"cumplimiento del indicador","no cumplimiento con el indicador")</f>
        <v>cumplimiento del indicador</v>
      </c>
      <c r="N68" s="7" t="str">
        <f>IF(G68&gt;=4,"cumplimiento del indicador","no cumplimiento con el indicador")</f>
        <v>cumplimiento del indicador</v>
      </c>
      <c r="O68" s="7" t="e">
        <f>IF(#REF!&gt;=4,"cumplimiento del indicador","no cumplimiento con el indicador")</f>
        <v>#REF!</v>
      </c>
      <c r="P68" s="7" t="str">
        <f t="shared" si="3"/>
        <v>Cumplimiento en la evaluación de los indicadores.</v>
      </c>
      <c r="Q68" s="7" t="str">
        <f t="shared" si="4"/>
        <v>No se requiere plan de mejora.</v>
      </c>
      <c r="R68" s="7" t="str">
        <f t="shared" si="5"/>
        <v>Se evidencia cumplimiento en la evaluacion de los indicadores.</v>
      </c>
      <c r="S68" s="1" t="s">
        <v>20</v>
      </c>
    </row>
    <row r="69" spans="1:19" ht="18.75" customHeight="1" x14ac:dyDescent="0.25">
      <c r="A69" s="1" t="s">
        <v>19</v>
      </c>
      <c r="B69" s="1" t="s">
        <v>20</v>
      </c>
      <c r="C69" s="2" t="s">
        <v>155</v>
      </c>
      <c r="D69" s="2" t="s">
        <v>156</v>
      </c>
      <c r="E69" s="3">
        <v>5</v>
      </c>
      <c r="F69" s="3">
        <v>5</v>
      </c>
      <c r="G69" s="3">
        <v>5</v>
      </c>
      <c r="H69" s="4">
        <f>AVERAGE(E69:G69)</f>
        <v>5</v>
      </c>
      <c r="I69" s="5">
        <v>41</v>
      </c>
      <c r="J69" s="6">
        <v>20</v>
      </c>
      <c r="K69" s="6">
        <v>20</v>
      </c>
      <c r="L69" s="7" t="str">
        <f>IF(E69&gt;=4,"cumplimiento del indicador","no cumplimiento con el indicador")</f>
        <v>cumplimiento del indicador</v>
      </c>
      <c r="M69" s="7" t="str">
        <f>IF(F69&gt;=4,"cumplimiento del indicador","no cumplimiento con el indicador")</f>
        <v>cumplimiento del indicador</v>
      </c>
      <c r="N69" s="7" t="str">
        <f>IF(G69&gt;=4,"cumplimiento del indicador","no cumplimiento con el indicador")</f>
        <v>cumplimiento del indicador</v>
      </c>
      <c r="O69" s="7" t="e">
        <f>IF(#REF!&gt;=4,"cumplimiento del indicador","no cumplimiento con el indicador")</f>
        <v>#REF!</v>
      </c>
      <c r="P69" s="7" t="str">
        <f t="shared" si="3"/>
        <v>Cumplimiento en la evaluación de los indicadores.</v>
      </c>
      <c r="Q69" s="7" t="str">
        <f t="shared" si="4"/>
        <v>No se requiere plan de mejora.</v>
      </c>
      <c r="R69" s="7" t="str">
        <f t="shared" si="5"/>
        <v>Se evidencia cumplimiento en la evaluacion de los indicadores.</v>
      </c>
      <c r="S69" s="1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Felipe Gonzalez Beltrán</cp:lastModifiedBy>
  <dcterms:created xsi:type="dcterms:W3CDTF">2026-03-05T13:31:25Z</dcterms:created>
  <dcterms:modified xsi:type="dcterms:W3CDTF">2026-04-09T17:14:34Z</dcterms:modified>
</cp:coreProperties>
</file>