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uariios\prueba\Automatizaciones\SCRIPT_PDFS\SCRIPS_DOCUMENTADOS\PDF CALIDAD\IPS CON MEDICION 2 INDICADORES\"/>
    </mc:Choice>
  </mc:AlternateContent>
  <xr:revisionPtr revIDLastSave="0" documentId="13_ncr:1_{78790402-FDF7-4E5C-B7FE-3D01092C710C}" xr6:coauthVersionLast="47" xr6:coauthVersionMax="47" xr10:uidLastSave="{00000000-0000-0000-0000-000000000000}"/>
  <bookViews>
    <workbookView xWindow="-120" yWindow="-120" windowWidth="29040" windowHeight="15720" xr2:uid="{7F76B178-B5D4-4098-B7B9-F39AFCAC640C}"/>
  </bookViews>
  <sheets>
    <sheet name="Hoja1" sheetId="1" r:id="rId1"/>
  </sheets>
  <definedNames>
    <definedName name="_xlnm._FilterDatabase" localSheetId="0" hidden="1">Hoja1!$A$1:$P$10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L7" i="1"/>
  <c r="M7" i="1"/>
  <c r="N7" i="1"/>
  <c r="O7" i="1"/>
  <c r="K3" i="1"/>
  <c r="L3" i="1"/>
  <c r="M3" i="1"/>
  <c r="N3" i="1"/>
  <c r="O3" i="1"/>
  <c r="K4" i="1"/>
  <c r="L4" i="1"/>
  <c r="M4" i="1"/>
  <c r="N4" i="1"/>
  <c r="O4" i="1"/>
  <c r="K10" i="1"/>
  <c r="L10" i="1"/>
  <c r="M10" i="1"/>
  <c r="N10" i="1"/>
  <c r="O10" i="1"/>
  <c r="K5" i="1"/>
  <c r="L5" i="1"/>
  <c r="M5" i="1"/>
  <c r="N5" i="1"/>
  <c r="O5" i="1"/>
  <c r="K6" i="1"/>
  <c r="L6" i="1"/>
  <c r="M6" i="1"/>
  <c r="N6" i="1"/>
  <c r="O6" i="1"/>
  <c r="K8" i="1"/>
  <c r="L8" i="1"/>
  <c r="M8" i="1"/>
  <c r="N8" i="1"/>
  <c r="O8" i="1"/>
  <c r="K9" i="1"/>
  <c r="L9" i="1"/>
  <c r="M9" i="1"/>
  <c r="N9" i="1"/>
  <c r="O9" i="1"/>
  <c r="K2" i="1"/>
  <c r="L2" i="1"/>
  <c r="M2" i="1"/>
  <c r="N2" i="1"/>
  <c r="O2" i="1"/>
</calcChain>
</file>

<file path=xl/sharedStrings.xml><?xml version="1.0" encoding="utf-8"?>
<sst xmlns="http://schemas.openxmlformats.org/spreadsheetml/2006/main" count="52" uniqueCount="36">
  <si>
    <t>campoa</t>
  </si>
  <si>
    <t>campob</t>
  </si>
  <si>
    <t>campoc</t>
  </si>
  <si>
    <t>campod</t>
  </si>
  <si>
    <t>campoe</t>
  </si>
  <si>
    <t>campof</t>
  </si>
  <si>
    <t>campog</t>
  </si>
  <si>
    <t>campoh</t>
  </si>
  <si>
    <t>campoi</t>
  </si>
  <si>
    <t>campoj</t>
  </si>
  <si>
    <t>campok</t>
  </si>
  <si>
    <t>campol</t>
  </si>
  <si>
    <t>campom</t>
  </si>
  <si>
    <t>campon</t>
  </si>
  <si>
    <t>campoo</t>
  </si>
  <si>
    <t>campot</t>
  </si>
  <si>
    <t>13.04.2026</t>
  </si>
  <si>
    <t>I TRIMESTRE</t>
  </si>
  <si>
    <t>0718-2024</t>
  </si>
  <si>
    <t>0941-2024</t>
  </si>
  <si>
    <t>0779-2024</t>
  </si>
  <si>
    <t>0710-2024</t>
  </si>
  <si>
    <t>0296-2024</t>
  </si>
  <si>
    <t>0792-2025</t>
  </si>
  <si>
    <t>0943-2024</t>
  </si>
  <si>
    <t>0759-2025</t>
  </si>
  <si>
    <t>0320-2023</t>
  </si>
  <si>
    <t>MEDICINA Y TECNOLOGIA EN SALUD S.A.S.</t>
  </si>
  <si>
    <t>CAJA DE COMPENSACION FAMILIAR DE CALDAS - CONFA</t>
  </si>
  <si>
    <t>ALVARO GARCIA HERRERA</t>
  </si>
  <si>
    <t>E.S.E. HOSPITAL UNIVERSITARIO SAN RAFAEL DE TUNJA</t>
  </si>
  <si>
    <t>CLINICA DE ORTOPEDIA FUNCION Y EDUCACION S.A.S. – ORTOFED S.A.S</t>
  </si>
  <si>
    <t>CLINICA DE MARLY JORGE CAVELIER GAVIRIA SAS</t>
  </si>
  <si>
    <t>OFTALMOS S.A.</t>
  </si>
  <si>
    <t>E.S.E. HOSPITAL UNIVERSITARIO HERNANDO MONCALEANO PERDOMO</t>
  </si>
  <si>
    <t>AMBULANCIAS ARMENIA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</si>
</sst>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F28-2581-40E8-9FC3-C11753EC3402}">
  <dimension ref="A1:P10"/>
  <sheetViews>
    <sheetView tabSelected="1" workbookViewId="0">
      <selection activeCell="J2" sqref="J2"/>
    </sheetView>
  </sheetViews>
  <sheetFormatPr baseColWidth="10" defaultRowHeight="15" x14ac:dyDescent="0.25"/>
  <cols>
    <col min="1" max="1" width="19.5703125" style="1" bestFit="1" customWidth="1"/>
    <col min="2" max="2" width="26.42578125" style="1" bestFit="1" customWidth="1"/>
    <col min="3" max="3" width="12.42578125" style="1" bestFit="1" customWidth="1"/>
    <col min="4" max="8" width="11.42578125" style="1"/>
    <col min="9" max="9" width="11.42578125" style="4"/>
    <col min="10" max="10" width="17.42578125" style="4" customWidth="1"/>
    <col min="11" max="11" width="13.42578125" style="1" bestFit="1" customWidth="1"/>
    <col min="12" max="12" width="12.85546875" style="1" bestFit="1" customWidth="1"/>
    <col min="13" max="13" width="13.140625" style="1" customWidth="1"/>
    <col min="14" max="15" width="11.425781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90" x14ac:dyDescent="0.25">
      <c r="A2" s="1" t="s">
        <v>16</v>
      </c>
      <c r="B2" s="1" t="s">
        <v>17</v>
      </c>
      <c r="C2" s="1" t="s">
        <v>35</v>
      </c>
      <c r="D2" s="1" t="s">
        <v>26</v>
      </c>
      <c r="E2" s="1">
        <v>5</v>
      </c>
      <c r="F2" s="1">
        <v>5</v>
      </c>
      <c r="G2" s="1">
        <v>5</v>
      </c>
      <c r="H2" s="1">
        <v>8</v>
      </c>
      <c r="I2" s="3">
        <v>4</v>
      </c>
      <c r="J2" s="3">
        <v>4</v>
      </c>
      <c r="K2" s="2" t="str">
        <f t="shared" ref="K2:K10" si="0">IF(E2&gt;=4,"cumplimiento del indicador","no cumplimiento con el indicador")</f>
        <v>cumplimiento del indicador</v>
      </c>
      <c r="L2" s="2" t="str">
        <f t="shared" ref="L2:L10" si="1">IF(F2&gt;=4,"cumplimiento del indicador","no cumplimiento con el indicador")</f>
        <v>cumplimiento del indicador</v>
      </c>
      <c r="M2" s="2" t="str">
        <f t="shared" ref="M2:M10" si="2">IF(G2&gt;=4,"Cumplimiento en la evaluación de los indicadores.","No cumplimiento en la evaluación de los indicadores.")</f>
        <v>Cumplimiento en la evaluación de los indicadores.</v>
      </c>
      <c r="N2" s="2" t="str">
        <f t="shared" ref="N2:N10" si="3">IF(G2&gt;=4,"No se requiere plan de mejora.","Se requiere plan de mejora.")</f>
        <v>No se requiere plan de mejora.</v>
      </c>
      <c r="O2" s="2" t="str">
        <f t="shared" ref="O2:O10" si="4">IF(G2&gt;=4,"Se evidencia cumplimiento en la evaluacion de los indicadores.","Se evidencia incumplimiento en la evaluacion de los indicadores.")</f>
        <v>Se evidencia cumplimiento en la evaluacion de los indicadores.</v>
      </c>
    </row>
    <row r="3" spans="1:16" ht="90" x14ac:dyDescent="0.25">
      <c r="A3" s="1" t="s">
        <v>16</v>
      </c>
      <c r="B3" s="1" t="s">
        <v>17</v>
      </c>
      <c r="C3" s="1" t="s">
        <v>28</v>
      </c>
      <c r="D3" s="1" t="s">
        <v>19</v>
      </c>
      <c r="E3" s="1">
        <v>4.4000000000000004</v>
      </c>
      <c r="F3" s="1">
        <v>5</v>
      </c>
      <c r="G3" s="1">
        <v>4</v>
      </c>
      <c r="H3" s="1">
        <v>224</v>
      </c>
      <c r="I3" s="3">
        <v>112</v>
      </c>
      <c r="J3" s="3">
        <v>112</v>
      </c>
      <c r="K3" s="2" t="str">
        <f t="shared" si="0"/>
        <v>cumplimiento del indicador</v>
      </c>
      <c r="L3" s="2" t="str">
        <f t="shared" si="1"/>
        <v>cumplimiento del indicador</v>
      </c>
      <c r="M3" s="2" t="str">
        <f t="shared" si="2"/>
        <v>Cumplimiento en la evaluación de los indicadores.</v>
      </c>
      <c r="N3" s="2" t="str">
        <f t="shared" si="3"/>
        <v>No se requiere plan de mejora.</v>
      </c>
      <c r="O3" s="2" t="str">
        <f t="shared" si="4"/>
        <v>Se evidencia cumplimiento en la evaluacion de los indicadores.</v>
      </c>
    </row>
    <row r="4" spans="1:16" ht="90" x14ac:dyDescent="0.25">
      <c r="A4" s="1" t="s">
        <v>16</v>
      </c>
      <c r="B4" s="1" t="s">
        <v>17</v>
      </c>
      <c r="C4" s="1" t="s">
        <v>29</v>
      </c>
      <c r="D4" s="1" t="s">
        <v>20</v>
      </c>
      <c r="E4" s="1">
        <v>4.8</v>
      </c>
      <c r="F4" s="1">
        <v>4.8</v>
      </c>
      <c r="G4" s="1">
        <v>4</v>
      </c>
      <c r="H4" s="1">
        <v>232</v>
      </c>
      <c r="I4" s="3">
        <v>116</v>
      </c>
      <c r="J4" s="3">
        <v>116</v>
      </c>
      <c r="K4" s="2" t="str">
        <f t="shared" si="0"/>
        <v>cumplimiento del indicador</v>
      </c>
      <c r="L4" s="2" t="str">
        <f t="shared" si="1"/>
        <v>cumplimiento del indicador</v>
      </c>
      <c r="M4" s="2" t="str">
        <f t="shared" si="2"/>
        <v>Cumplimiento en la evaluación de los indicadores.</v>
      </c>
      <c r="N4" s="2" t="str">
        <f t="shared" si="3"/>
        <v>No se requiere plan de mejora.</v>
      </c>
      <c r="O4" s="2" t="str">
        <f t="shared" si="4"/>
        <v>Se evidencia cumplimiento en la evaluacion de los indicadores.</v>
      </c>
    </row>
    <row r="5" spans="1:16" ht="90" x14ac:dyDescent="0.25">
      <c r="A5" s="1" t="s">
        <v>16</v>
      </c>
      <c r="B5" s="1" t="s">
        <v>17</v>
      </c>
      <c r="C5" s="1" t="s">
        <v>31</v>
      </c>
      <c r="D5" s="1" t="s">
        <v>22</v>
      </c>
      <c r="E5" s="1">
        <v>5</v>
      </c>
      <c r="F5" s="1">
        <v>5</v>
      </c>
      <c r="G5" s="1">
        <v>5</v>
      </c>
      <c r="H5" s="1">
        <v>261</v>
      </c>
      <c r="I5" s="3">
        <v>130</v>
      </c>
      <c r="J5" s="3">
        <v>130</v>
      </c>
      <c r="K5" s="2" t="str">
        <f t="shared" si="0"/>
        <v>cumplimiento del indicador</v>
      </c>
      <c r="L5" s="2" t="str">
        <f t="shared" si="1"/>
        <v>cumplimiento del indicador</v>
      </c>
      <c r="M5" s="2" t="str">
        <f t="shared" si="2"/>
        <v>Cumplimiento en la evaluación de los indicadores.</v>
      </c>
      <c r="N5" s="2" t="str">
        <f t="shared" si="3"/>
        <v>No se requiere plan de mejora.</v>
      </c>
      <c r="O5" s="2" t="str">
        <f t="shared" si="4"/>
        <v>Se evidencia cumplimiento en la evaluacion de los indicadores.</v>
      </c>
    </row>
    <row r="6" spans="1:16" ht="90" x14ac:dyDescent="0.25">
      <c r="A6" s="1" t="s">
        <v>16</v>
      </c>
      <c r="B6" s="1" t="s">
        <v>17</v>
      </c>
      <c r="C6" s="1" t="s">
        <v>32</v>
      </c>
      <c r="D6" s="1" t="s">
        <v>23</v>
      </c>
      <c r="E6" s="1">
        <v>5</v>
      </c>
      <c r="F6" s="1">
        <v>5</v>
      </c>
      <c r="G6" s="1">
        <v>5</v>
      </c>
      <c r="H6" s="1">
        <v>268</v>
      </c>
      <c r="I6" s="3">
        <v>134</v>
      </c>
      <c r="J6" s="3">
        <v>134</v>
      </c>
      <c r="K6" s="2" t="str">
        <f t="shared" si="0"/>
        <v>cumplimiento del indicador</v>
      </c>
      <c r="L6" s="2" t="str">
        <f t="shared" si="1"/>
        <v>cumplimiento del indicador</v>
      </c>
      <c r="M6" s="2" t="str">
        <f t="shared" si="2"/>
        <v>Cumplimiento en la evaluación de los indicadores.</v>
      </c>
      <c r="N6" s="2" t="str">
        <f t="shared" si="3"/>
        <v>No se requiere plan de mejora.</v>
      </c>
      <c r="O6" s="2" t="str">
        <f t="shared" si="4"/>
        <v>Se evidencia cumplimiento en la evaluacion de los indicadores.</v>
      </c>
    </row>
    <row r="7" spans="1:16" ht="90" x14ac:dyDescent="0.25">
      <c r="A7" s="1" t="s">
        <v>16</v>
      </c>
      <c r="B7" s="1" t="s">
        <v>17</v>
      </c>
      <c r="C7" s="1" t="s">
        <v>27</v>
      </c>
      <c r="D7" s="1" t="s">
        <v>18</v>
      </c>
      <c r="E7" s="1">
        <v>4.2</v>
      </c>
      <c r="F7" s="1">
        <v>5</v>
      </c>
      <c r="G7" s="1">
        <v>4</v>
      </c>
      <c r="H7" s="1">
        <v>463</v>
      </c>
      <c r="I7" s="3">
        <v>231</v>
      </c>
      <c r="J7" s="3">
        <v>231</v>
      </c>
      <c r="K7" s="2" t="str">
        <f t="shared" si="0"/>
        <v>cumplimiento del indicador</v>
      </c>
      <c r="L7" s="2" t="str">
        <f t="shared" si="1"/>
        <v>cumplimiento del indicador</v>
      </c>
      <c r="M7" s="2" t="str">
        <f t="shared" si="2"/>
        <v>Cumplimiento en la evaluación de los indicadores.</v>
      </c>
      <c r="N7" s="2" t="str">
        <f t="shared" si="3"/>
        <v>No se requiere plan de mejora.</v>
      </c>
      <c r="O7" s="2" t="str">
        <f t="shared" si="4"/>
        <v>Se evidencia cumplimiento en la evaluacion de los indicadores.</v>
      </c>
    </row>
    <row r="8" spans="1:16" ht="120" x14ac:dyDescent="0.25">
      <c r="A8" s="1" t="s">
        <v>16</v>
      </c>
      <c r="B8" s="1" t="s">
        <v>17</v>
      </c>
      <c r="C8" s="1" t="s">
        <v>33</v>
      </c>
      <c r="D8" s="1" t="s">
        <v>24</v>
      </c>
      <c r="E8" s="1">
        <v>5</v>
      </c>
      <c r="F8" s="1">
        <v>5</v>
      </c>
      <c r="G8" s="1">
        <v>5</v>
      </c>
      <c r="H8" s="1">
        <v>575</v>
      </c>
      <c r="I8" s="3">
        <v>287</v>
      </c>
      <c r="J8" s="3">
        <v>287</v>
      </c>
      <c r="K8" s="2" t="str">
        <f t="shared" si="0"/>
        <v>cumplimiento del indicador</v>
      </c>
      <c r="L8" s="2" t="str">
        <f t="shared" si="1"/>
        <v>cumplimiento del indicador</v>
      </c>
      <c r="M8" s="2" t="str">
        <f t="shared" si="2"/>
        <v>Cumplimiento en la evaluación de los indicadores.</v>
      </c>
      <c r="N8" s="2" t="str">
        <f t="shared" si="3"/>
        <v>No se requiere plan de mejora.</v>
      </c>
      <c r="O8" s="2" t="str">
        <f t="shared" si="4"/>
        <v>Se evidencia cumplimiento en la evaluacion de los indicadores.</v>
      </c>
    </row>
    <row r="9" spans="1:16" ht="120" x14ac:dyDescent="0.25">
      <c r="A9" s="1" t="s">
        <v>16</v>
      </c>
      <c r="B9" s="1" t="s">
        <v>17</v>
      </c>
      <c r="C9" s="1" t="s">
        <v>34</v>
      </c>
      <c r="D9" s="1" t="s">
        <v>25</v>
      </c>
      <c r="E9" s="1">
        <v>5</v>
      </c>
      <c r="F9" s="1">
        <v>5</v>
      </c>
      <c r="G9" s="1">
        <v>5</v>
      </c>
      <c r="H9" s="1">
        <v>617</v>
      </c>
      <c r="I9" s="3">
        <v>308</v>
      </c>
      <c r="J9" s="3">
        <v>308</v>
      </c>
      <c r="K9" s="2" t="str">
        <f t="shared" si="0"/>
        <v>cumplimiento del indicador</v>
      </c>
      <c r="L9" s="2" t="str">
        <f t="shared" si="1"/>
        <v>cumplimiento del indicador</v>
      </c>
      <c r="M9" s="2" t="str">
        <f t="shared" si="2"/>
        <v>Cumplimiento en la evaluación de los indicadores.</v>
      </c>
      <c r="N9" s="2" t="str">
        <f t="shared" si="3"/>
        <v>No se requiere plan de mejora.</v>
      </c>
      <c r="O9" s="2" t="str">
        <f t="shared" si="4"/>
        <v>Se evidencia cumplimiento en la evaluacion de los indicadores.</v>
      </c>
    </row>
    <row r="10" spans="1:16" ht="120" x14ac:dyDescent="0.25">
      <c r="A10" s="1" t="s">
        <v>16</v>
      </c>
      <c r="B10" s="1" t="s">
        <v>17</v>
      </c>
      <c r="C10" s="1" t="s">
        <v>30</v>
      </c>
      <c r="D10" s="1" t="s">
        <v>21</v>
      </c>
      <c r="E10" s="1">
        <v>4.8</v>
      </c>
      <c r="F10" s="1">
        <v>5</v>
      </c>
      <c r="G10" s="1">
        <v>4</v>
      </c>
      <c r="H10" s="1">
        <v>712</v>
      </c>
      <c r="I10" s="3">
        <v>356</v>
      </c>
      <c r="J10" s="3">
        <v>356</v>
      </c>
      <c r="K10" s="2" t="str">
        <f t="shared" si="0"/>
        <v>cumplimiento del indicador</v>
      </c>
      <c r="L10" s="2" t="str">
        <f t="shared" si="1"/>
        <v>cumplimiento del indicador</v>
      </c>
      <c r="M10" s="2" t="str">
        <f t="shared" si="2"/>
        <v>Cumplimiento en la evaluación de los indicadores.</v>
      </c>
      <c r="N10" s="2" t="str">
        <f t="shared" si="3"/>
        <v>No se requiere plan de mejora.</v>
      </c>
      <c r="O10" s="2" t="str">
        <f t="shared" si="4"/>
        <v>Se evidencia cumplimiento en la evaluacion de los indicadores.</v>
      </c>
    </row>
  </sheetData>
  <autoFilter ref="A1:P10" xr:uid="{C0157F28-2581-40E8-9FC3-C11753EC3402}">
    <sortState xmlns:xlrd2="http://schemas.microsoft.com/office/spreadsheetml/2017/richdata2" ref="A2:P10">
      <sortCondition ref="J1:J1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Gonzalez Beltrán</dc:creator>
  <cp:lastModifiedBy>ags americas 3</cp:lastModifiedBy>
  <dcterms:created xsi:type="dcterms:W3CDTF">2025-12-19T12:38:25Z</dcterms:created>
  <dcterms:modified xsi:type="dcterms:W3CDTF">2026-04-13T14:56:35Z</dcterms:modified>
</cp:coreProperties>
</file>