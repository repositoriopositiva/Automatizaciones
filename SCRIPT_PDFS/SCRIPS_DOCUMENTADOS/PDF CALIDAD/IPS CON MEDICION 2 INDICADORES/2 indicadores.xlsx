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uariios\prueba\Automatizaciones\SCRIPT_PDFS\SCRIPS_DOCUMENTADOS\PDF CALIDAD\IPS CON MEDICION 2 INDICADORES\"/>
    </mc:Choice>
  </mc:AlternateContent>
  <xr:revisionPtr revIDLastSave="0" documentId="13_ncr:1_{F841F625-DDC9-4C2E-8398-FE148D7EE2E7}" xr6:coauthVersionLast="47" xr6:coauthVersionMax="47" xr10:uidLastSave="{00000000-0000-0000-0000-000000000000}"/>
  <bookViews>
    <workbookView xWindow="-120" yWindow="-120" windowWidth="29040" windowHeight="15720" xr2:uid="{7F76B178-B5D4-4098-B7B9-F39AFCAC640C}"/>
  </bookViews>
  <sheets>
    <sheet name="Hoja1" sheetId="1" r:id="rId1"/>
  </sheets>
  <definedNames>
    <definedName name="_xlnm._FilterDatabase" localSheetId="0" hidden="1">Hoja1!$A$1:$P$1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L2" i="1"/>
  <c r="I2" i="1"/>
  <c r="G2" i="1"/>
  <c r="O2" i="1" l="1"/>
  <c r="N2" i="1"/>
  <c r="M2" i="1"/>
</calcChain>
</file>

<file path=xl/sharedStrings.xml><?xml version="1.0" encoding="utf-8"?>
<sst xmlns="http://schemas.openxmlformats.org/spreadsheetml/2006/main" count="20" uniqueCount="20">
  <si>
    <t>campoa</t>
  </si>
  <si>
    <t>campob</t>
  </si>
  <si>
    <t>campoc</t>
  </si>
  <si>
    <t>campod</t>
  </si>
  <si>
    <t>campoe</t>
  </si>
  <si>
    <t>campof</t>
  </si>
  <si>
    <t>campog</t>
  </si>
  <si>
    <t>campoh</t>
  </si>
  <si>
    <t>campoi</t>
  </si>
  <si>
    <t>campoj</t>
  </si>
  <si>
    <t>campok</t>
  </si>
  <si>
    <t>campol</t>
  </si>
  <si>
    <t>campom</t>
  </si>
  <si>
    <t>campon</t>
  </si>
  <si>
    <t>campoo</t>
  </si>
  <si>
    <t>campot</t>
  </si>
  <si>
    <t>I TRIMESTRE</t>
  </si>
  <si>
    <t>20.04.2026</t>
  </si>
  <si>
    <t>0051-2023</t>
  </si>
  <si>
    <t>ESE HOSPITAL SAN RAFAEL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</si>
</sst>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57F28-2581-40E8-9FC3-C11753EC3402}">
  <dimension ref="A1:P2"/>
  <sheetViews>
    <sheetView tabSelected="1" workbookViewId="0">
      <selection activeCell="G2" sqref="G2"/>
    </sheetView>
  </sheetViews>
  <sheetFormatPr baseColWidth="10" defaultRowHeight="15" x14ac:dyDescent="0.25"/>
  <cols>
    <col min="1" max="1" width="19.5703125" style="1" bestFit="1" customWidth="1"/>
    <col min="2" max="2" width="26.42578125" style="1" bestFit="1" customWidth="1"/>
    <col min="3" max="3" width="12.42578125" style="1" bestFit="1" customWidth="1"/>
    <col min="4" max="8" width="11.42578125" style="1"/>
    <col min="9" max="9" width="11.42578125" style="3"/>
    <col min="10" max="10" width="17.42578125" style="3" customWidth="1"/>
    <col min="11" max="11" width="13.42578125" style="1" bestFit="1" customWidth="1"/>
    <col min="12" max="12" width="12.85546875" style="1" bestFit="1" customWidth="1"/>
    <col min="13" max="13" width="13.140625" style="1" customWidth="1"/>
    <col min="14" max="15" width="11.42578125" style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120" x14ac:dyDescent="0.25">
      <c r="A2" s="1" t="s">
        <v>17</v>
      </c>
      <c r="B2" s="1" t="s">
        <v>16</v>
      </c>
      <c r="C2" s="1" t="s">
        <v>19</v>
      </c>
      <c r="D2" s="1" t="s">
        <v>18</v>
      </c>
      <c r="E2" s="1">
        <v>4.5</v>
      </c>
      <c r="F2" s="1">
        <v>3.5</v>
      </c>
      <c r="G2" s="1">
        <f>AVERAGE(E2:F2)</f>
        <v>4</v>
      </c>
      <c r="H2" s="1">
        <v>72</v>
      </c>
      <c r="I2" s="3">
        <f>H2/2</f>
        <v>36</v>
      </c>
      <c r="J2" s="3">
        <v>36</v>
      </c>
      <c r="K2" s="2" t="str">
        <f t="shared" ref="K2" si="0">IF(E2&gt;=4,"cumplimiento del indicador","no cumplimiento con el indicador")</f>
        <v>cumplimiento del indicador</v>
      </c>
      <c r="L2" s="2" t="str">
        <f t="shared" ref="L2" si="1">IF(F2&gt;=4,"cumplimiento del indicador","no cumplimiento con el indicador")</f>
        <v>no cumplimiento con el indicador</v>
      </c>
      <c r="M2" s="2" t="str">
        <f t="shared" ref="M2" si="2">IF(G2&gt;=4,"Cumplimiento en la evaluación de los indicadores.","No cumplimiento en la evaluación de los indicadores.")</f>
        <v>Cumplimiento en la evaluación de los indicadores.</v>
      </c>
      <c r="N2" s="2" t="str">
        <f t="shared" ref="N2" si="3">IF(G2&gt;=4,"No se requiere plan de mejora.","Se requiere plan de mejora.")</f>
        <v>No se requiere plan de mejora.</v>
      </c>
      <c r="O2" s="2" t="str">
        <f t="shared" ref="O2" si="4">IF(G2&gt;=4,"Se evidencia cumplimiento en la evaluacion de los indicadores.","Se evidencia incumplimiento en la evaluacion de los indicadores.")</f>
        <v>Se evidencia cumplimiento en la evaluacion de los indicadores.</v>
      </c>
    </row>
  </sheetData>
  <autoFilter ref="A1:P1" xr:uid="{C0157F28-2581-40E8-9FC3-C11753EC3402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Felipe Gonzalez Beltrán</dc:creator>
  <cp:lastModifiedBy>Daniel Felipe Gonzalez Beltrán</cp:lastModifiedBy>
  <dcterms:created xsi:type="dcterms:W3CDTF">2025-12-19T12:38:25Z</dcterms:created>
  <dcterms:modified xsi:type="dcterms:W3CDTF">2026-04-21T13:59:01Z</dcterms:modified>
</cp:coreProperties>
</file>