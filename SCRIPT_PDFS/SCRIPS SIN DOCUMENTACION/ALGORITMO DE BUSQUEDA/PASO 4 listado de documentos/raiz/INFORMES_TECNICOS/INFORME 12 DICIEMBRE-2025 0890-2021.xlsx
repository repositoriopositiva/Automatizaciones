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890-2021/"/>
    </mc:Choice>
  </mc:AlternateContent>
  <xr:revisionPtr revIDLastSave="87" documentId="13_ncr:1_{F3D7D61A-AF3D-405C-AEAA-270E7E233806}" xr6:coauthVersionLast="47" xr6:coauthVersionMax="47" xr10:uidLastSave="{0F740222-114B-42F1-B029-9D94A2C92CB7}"/>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<sst xmlns="http://schemas.openxmlformats.org/spreadsheetml/2006/main" count="156" uniqueCount="124">
  <si>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</si>
  <si>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</si>
  <si>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</si>
  <si>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</si>
  <si>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</si>
  <si>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</si>
  <si>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</si>
  <si>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</si>
  <si>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</si>
  <si>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</si>
  <si>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</si>
  <si>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</si>
  <si>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</si>
  <si>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</si>
  <si>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</si>
  <si>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</si>
  <si>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</si>
  <si>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</si>
  <si>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</si>
  <si>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</si>
  <si>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</si>
  <si>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0890-2021</t>
  </si>
  <si>
    <t>PRESTACION DE SERVICIOS</t>
  </si>
  <si>
    <t>No. de NIT</t>
  </si>
  <si>
    <t>Nombre y/o razón social del proveedor</t>
  </si>
  <si>
    <t>LABORATORIO DE ORTESIS Y PROTESIS GILETE Y CIA LIMITADA</t>
  </si>
  <si>
    <t>Fecha de inicio</t>
  </si>
  <si>
    <t>Fecha de terminación</t>
  </si>
  <si>
    <t>2. OBJETO</t>
  </si>
  <si>
    <t>Prestar el servicio de suministro y distribución de ortésis, prótesis, línea blanda, movilidad y ayudas técnicas a los asegurados en los diferentes ramos de POSITIVA COMPAÑIA DE SEGUROS S.A.</t>
  </si>
  <si>
    <t>3. MODIFICACIONES AL CONTRATO</t>
  </si>
  <si>
    <r>
      <t xml:space="preserve">Otrosí No. </t>
    </r>
    <r>
      <rPr>
        <sz val="11"/>
        <color theme="1"/>
        <rFont val="Arial"/>
        <family val="2"/>
      </rPr>
      <t>01</t>
    </r>
  </si>
  <si>
    <r>
      <t xml:space="preserve">Fecha de modificación: 
</t>
    </r>
    <r>
      <rPr>
        <sz val="11"/>
        <color theme="1"/>
        <rFont val="Arial"/>
        <family val="2"/>
      </rPr>
      <t>22/12/2023</t>
    </r>
  </si>
  <si>
    <r>
      <rPr>
        <b/>
        <sz val="11"/>
        <color theme="1"/>
        <rFont val="Arial"/>
        <family val="2"/>
      </rPr>
      <t xml:space="preserve">Objeto de la modificación: </t>
    </r>
    <r>
      <rPr>
        <sz val="11"/>
        <color theme="1"/>
        <rFont val="Arial"/>
        <family val="2"/>
      </rPr>
      <t>Modificar el parágrafo primero de la CLÁUSULA primera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DURACION, Modificar la CLÁUSULA de LUGAR DE EJECUCIÓN, Modificar la CLÁUSULA de INTERVENTORÍA, Modificar la CLÁUSULA de GARANTÍAS, Modificar la CLÁUSULA de MANUAL DE REQUISITOS Y OBLIGACIONES DE CONTRATISTAS EN SEGURIDAD, SALUD OCUPACIONAL Y AMBIENTE, Incluir la CLÁUSULA de SOLUCION DE CONTROVERSIAS Y MECANISMO ALTERNATIVO DE SOLUCIÓN DE CONFLICTOS e Incluir la CLÁUSULA de RELACIÓN DE SERVICIOS Y/O TECNOLOGÍA, Incluir la CLÁUSULA de CLÁUSULA TRIGÉSIMA NOVENA CUMPLIMIENTO PROTOCOLO PARA LA PREVENCIÓN DEL ACOSO SEXUAL Y/O DISCRIMINACIÓN DE GÉNERO.</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</si>
  <si>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</si>
  <si>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</si>
  <si>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</si>
  <si>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</si>
  <si>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</si>
  <si>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</si>
  <si>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realiza con una periodicidad mensual, y la medición de 
indicadores de calidad se realiza con una periodicidad mensual ; éstos se incluyen dentro del informe.</t>
  </si>
  <si>
    <t>7. GARANTÍAS</t>
  </si>
  <si>
    <t>Tipo de Garantía</t>
  </si>
  <si>
    <t>Amparos</t>
  </si>
  <si>
    <t>Aseguradora</t>
  </si>
  <si>
    <t>No. de Póliza</t>
  </si>
  <si>
    <t>Vigencia</t>
  </si>
  <si>
    <t>Desde</t>
  </si>
  <si>
    <t>Hasta</t>
  </si>
  <si>
    <t>Cumplimiento ante Entidades Públicas con Régimen Privado de Contrato</t>
  </si>
  <si>
    <t>Cumplimiento</t>
  </si>
  <si>
    <t>SEGUROS DEL ESTADO S.A.</t>
  </si>
  <si>
    <t>62-45-101025241</t>
  </si>
  <si>
    <t>Salarios y prestaciones sociales</t>
  </si>
  <si>
    <t>Responsabilidad Civil Extracontractual derivada de Cumplimiento</t>
  </si>
  <si>
    <t>Responsabilidad civil extracontractual derivada del cumplimiento</t>
  </si>
  <si>
    <t>62-40-101011059</t>
  </si>
  <si>
    <t>Póliza de Responsabilidad Civil Médica o de responsabilidad civil profesional clínicas y hospitales</t>
  </si>
  <si>
    <t>Responsabilidad civil médica o profesional clinicas y hospitales</t>
  </si>
  <si>
    <t>No aplica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</si>
  <si>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</si>
  <si>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</si>
  <si>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</si>
  <si>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</si>
  <si>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</si>
  <si>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</si>
  <si>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</si>
  <si>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</si>
  <si>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</si>
  <si>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</si>
  <si>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</si>
  <si>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</si>
  <si>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</si>
  <si>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</si>
  <si>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</si>
  <si>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</si>
  <si>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</si>
  <si>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</si>
  <si>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</si>
  <si>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</si>
  <si>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</si>
  <si>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</si>
  <si>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</si>
  <si>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</si>
  <si>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</si>
  <si>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</si>
  <si>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</si>
  <si>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</si>
  <si>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</si>
  <si>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</si>
  <si>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</si>
  <si>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</si>
  <si>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</si>
  <si>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</si>
  <si>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</si>
  <si>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</si>
  <si>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</si>
  <si>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</si>
  <si>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</si>
  <si>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</si>
  <si>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</si>
  <si>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</si>
  <si>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</si>
  <si>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</si>
  <si>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</si>
  <si>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</si>
  <si>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</si>
  <si>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</si>
  <si>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</si>
  <si>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</si>
  <si>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</si>
  <si>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</si>
  <si>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</si>
  <si>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</si>
  <si>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</si>
  <si>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</si>
  <si>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</si>
  <si>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 </t>
    </r>
  </si>
  <si>
    <r>
      <t>Cargo:</t>
    </r>
    <r>
      <rPr>
        <sz val="11"/>
        <rFont val="Arial"/>
        <family val="2"/>
      </rPr>
      <t xml:space="preserve"> Analista de Contratos</t>
    </r>
  </si>
  <si>
    <t>1. Evaluación de obligaciones generales y específicas. 
2. Resultado medición de indicadores de gestión y de calidad. 
3. Soporte de medición.
4. Relación de pagos ARL- GP.
5. Soporte de pago PILA y certificado seguridad social y parafiscales.
6. Autorizaciones generadas durante el periodo evaluado.
7. Habilitación del proveedor de acuerdo con el tipo de servicio.(REPS E INVIMA) 
8. Acta de Seguimiento al Consumo de garantías de Cumplimiento.
9. Comunicaciones con el proveedor.</t>
  </si>
  <si>
    <t>12-2025</t>
  </si>
  <si>
    <t>01-12-2025 hasta 23-12-2025</t>
  </si>
  <si>
    <t>Calidad y correcto funcionamiento de los bienes suministrados:</t>
  </si>
  <si>
    <t xml:space="preserve">1. El proveedor realizó envío de certificación y planilla de pagos de seguridad social y aportes parafiscales correspondientes al mes de diciembre de 2025.                                                                                                                                                                                                                         2. El proveedor cuenta con Servicios habilitados en REPS y registros INVIMA y CCAA vigentes para el periodo.                                                                                                                                                                                                   3. El proveedor cuenta con Pólizas: Cumplimiento y Responsabilidad civil extracontractual vigentes para el período evaluado.
4.Durante el periodo evaluado, el proveedor LABORATORIO DE ORTESIS Y PROTESIS GILETE Y CIA LIMITADA presentó los siguientes resultados en relación con los indicadores de calidad:
o Cumplimiento en el indicador 1: Oportunidad en la entrega de Ortesis, Prótesis y Línea Blanda 100 %
o No Cumplimiento en el indicador 2: Calidad de la prótesis, Ortesis y/o Insumo Entregada al Usuario 90%
o No Cumplimiento en el indicador 3: Comodidad de la prótesis, ortesis y/o insumo entregado al usuario 70 %
o No Cumplimiento en el indicador 4: Satisfacción del usuario en la prestación del servicio 80 %.
5. Contrato con fecha de vigencia contractual hasta 23 de diciembre de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</si>
</sst>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6" formatCode="_-&quot;$&quot;\ * #,##0_-;\-&quot;$&quot;\ * #,##0_-;_-&quot;$&quot;\ * &quot;-&quot;??_-;_-@_-"/>
  </numFmts>
  <fonts count="21"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color rgb="FF040404"/>
      <name val="Arial"/>
      <family val="2"/>
    </font>
    <font>
      <sz val="11"/>
      <color rgb="FF040404"/>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44" fontId="5" fillId="0" borderId="0" applyFont="0" applyFill="0" applyBorder="0" applyAlignment="0" applyProtection="0"/>
  </cellStyleXfs>
  <cellXfs count="6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4" fillId="0" borderId="6" xfId="0" applyFont="1" applyBorder="1" applyAlignment="1">
      <alignment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9" fillId="0" borderId="5" xfId="1" applyFont="1" applyBorder="1" applyAlignment="1">
      <alignment vertical="center" wrapText="1"/>
    </xf>
    <xf numFmtId="0" fontId="19" fillId="0" borderId="2" xfId="1" applyFont="1" applyBorder="1" applyAlignment="1">
      <alignment vertical="center" wrapText="1"/>
    </xf>
    <xf numFmtId="0" fontId="19" fillId="0" borderId="1" xfId="1" applyFont="1" applyBorder="1" applyAlignment="1">
      <alignment vertical="center" wrapText="1"/>
    </xf>
    <xf numFmtId="0" fontId="13" fillId="0" borderId="3" xfId="0" applyFont="1" applyBorder="1" applyAlignment="1">
      <alignment vertical="center" wrapText="1"/>
    </xf>
    <xf numFmtId="0" fontId="14" fillId="2" borderId="6" xfId="0" applyFont="1" applyFill="1" applyBorder="1" applyAlignment="1">
      <alignment vertical="center" wrapText="1"/>
    </xf>
    <xf numFmtId="0" fontId="16" fillId="0" borderId="1" xfId="0" applyFont="1" applyBorder="1" applyAlignment="1">
      <alignment vertical="center"/>
    </xf>
    <xf numFmtId="0" fontId="16"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4" fillId="2" borderId="6" xfId="0" applyFont="1" applyFill="1" applyBorder="1" applyAlignment="1">
      <alignment horizontal="center" wrapText="1"/>
    </xf>
    <xf numFmtId="0" fontId="14" fillId="0" borderId="6" xfId="0" applyFont="1" applyBorder="1" applyAlignment="1">
      <alignment horizontal="center" wrapText="1"/>
    </xf>
    <xf numFmtId="0" fontId="17" fillId="0" borderId="6" xfId="0" applyFont="1" applyBorder="1" applyAlignment="1">
      <alignment horizontal="lef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4" fillId="0" borderId="1" xfId="1" applyFont="1" applyBorder="1" applyAlignment="1">
      <alignment horizontal="left" vertical="center" wrapText="1"/>
    </xf>
    <xf numFmtId="0" fontId="18" fillId="2" borderId="6" xfId="1"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3" fillId="0" borderId="6" xfId="0" applyFont="1" applyBorder="1" applyAlignment="1">
      <alignment horizontal="justify" vertical="center" wrapText="1"/>
    </xf>
    <xf numFmtId="0" fontId="13" fillId="0" borderId="6" xfId="0" applyFont="1" applyBorder="1" applyAlignment="1">
      <alignment horizontal="left" vertical="center" wrapText="1"/>
    </xf>
    <xf numFmtId="0" fontId="13" fillId="0" borderId="6" xfId="0" applyFont="1" applyBorder="1" applyAlignment="1">
      <alignment horizontal="center" wrapText="1"/>
    </xf>
    <xf numFmtId="0" fontId="13" fillId="2" borderId="6" xfId="0" applyFont="1" applyFill="1" applyBorder="1" applyAlignment="1">
      <alignment horizontal="center" vertical="center" wrapText="1"/>
    </xf>
    <xf numFmtId="0" fontId="17" fillId="0" borderId="6" xfId="0" applyFont="1" applyBorder="1" applyAlignment="1">
      <alignment vertical="center" wrapText="1"/>
    </xf>
    <xf numFmtId="0" fontId="13" fillId="2" borderId="6" xfId="0" applyFont="1" applyFill="1" applyBorder="1" applyAlignment="1">
      <alignment horizontal="center" wrapText="1"/>
    </xf>
    <xf numFmtId="0" fontId="20" fillId="0" borderId="6" xfId="0" applyFont="1" applyBorder="1" applyAlignment="1">
      <alignment vertical="center" wrapText="1"/>
    </xf>
    <xf numFmtId="166" fontId="17" fillId="0" borderId="6" xfId="2" applyNumberFormat="1"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749300</xdr:colOff>
      <xdr:row>0</xdr:row>
      <xdr:rowOff>152402</xdr:rowOff>
    </xdr:from>
    <xdr:to>
      <xdr:col>5</xdr:col>
      <xdr:colOff>1169200</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40700" y="152402"/>
          <a:ext cx="1734350" cy="517268"/>
        </a:xfrm>
        <a:prstGeom prst="rect">
          <a:avLst/>
        </a:prstGeom>
        <a:noFill/>
        <a:ln>
          <a:noFill/>
        </a:ln>
      </xdr:spPr>
    </xdr:pic>
    <xdr:clientData/>
  </xdr:twoCellAnchor>
  <xdr:twoCellAnchor editAs="oneCell">
    <xdr:from>
      <xdr:col>0</xdr:col>
      <xdr:colOff>590550</xdr:colOff>
      <xdr:row>56</xdr:row>
      <xdr:rowOff>76200</xdr:rowOff>
    </xdr:from>
    <xdr:to>
      <xdr:col>1</xdr:col>
      <xdr:colOff>209550</xdr:colOff>
      <xdr:row>56</xdr:row>
      <xdr:rowOff>342900</xdr:rowOff>
    </xdr:to>
    <xdr:pic>
      <xdr:nvPicPr>
        <xdr:cNvPr id="8" name="Imagen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90550" y="21288375"/>
          <a:ext cx="12001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541020</xdr:colOff>
      <xdr:row>59</xdr:row>
      <xdr:rowOff>45720</xdr:rowOff>
    </xdr:from>
    <xdr:to>
      <xdr:col>1</xdr:col>
      <xdr:colOff>655320</xdr:colOff>
      <xdr:row>59</xdr:row>
      <xdr:rowOff>434340</xdr:rowOff>
    </xdr:to>
    <xdr:pic>
      <xdr:nvPicPr>
        <xdr:cNvPr id="5" name="Imagen 4">
          <a:extLst>
            <a:ext uri="{FF2B5EF4-FFF2-40B4-BE49-F238E27FC236}">
              <a16:creationId xmlns:a16="http://schemas.microsoft.com/office/drawing/2014/main" id="{4B51C7A0-E7C5-175E-B6AF-88830395CCC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41020" y="21541740"/>
          <a:ext cx="1737360" cy="3886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2" t="s">
        <v>1</v>
      </c>
      <c r="B2" s="42"/>
      <c r="C2" s="42"/>
      <c r="D2" s="42"/>
      <c r="E2" s="42"/>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3" t="s">
        <v>2</v>
      </c>
      <c r="B5" s="43"/>
      <c r="C5" s="44" t="s">
        <v>3</v>
      </c>
      <c r="D5" s="44"/>
      <c r="E5" s="7"/>
      <c r="F5" s="8" t="s">
        <v>4</v>
      </c>
      <c r="G5" s="45" t="s">
        <v>5</v>
      </c>
      <c r="H5" s="45"/>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6" t="s">
        <v>8</v>
      </c>
      <c r="D7" s="46"/>
      <c r="E7" s="46"/>
      <c r="F7" s="12" t="s">
        <v>9</v>
      </c>
      <c r="G7" s="12" t="s">
        <v>10</v>
      </c>
      <c r="H7" s="12" t="s">
        <v>11</v>
      </c>
      <c r="I7" s="13"/>
      <c r="K7" s="6"/>
      <c r="L7" s="6"/>
      <c r="M7" s="6"/>
      <c r="N7" s="6"/>
      <c r="O7" s="6"/>
      <c r="P7" s="6"/>
    </row>
    <row r="8" spans="1:16" s="1" customFormat="1" ht="37.5" customHeight="1" x14ac:dyDescent="0.25">
      <c r="A8" s="14" t="s">
        <v>12</v>
      </c>
      <c r="B8" s="15">
        <v>45491</v>
      </c>
      <c r="C8" s="41" t="s">
        <v>13</v>
      </c>
      <c r="D8" s="41"/>
      <c r="E8" s="41"/>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3"/>
  <sheetViews>
    <sheetView tabSelected="1" topLeftCell="A14" zoomScaleNormal="100" zoomScaleSheetLayoutView="70" workbookViewId="0">
      <selection activeCell="A20" sqref="A20:F20"/>
    </sheetView>
  </sheetViews>
  <sheetFormatPr baseColWidth="10" defaultColWidth="9.109375" defaultRowHeight="13.8" x14ac:dyDescent="0.3"/>
  <cols>
    <col min="1" max="1" width="23.6640625" style="30" customWidth="1"/>
    <col min="2" max="2" width="25.6640625" style="30" customWidth="1"/>
    <col min="3" max="4" width="30.6640625" style="30" customWidth="1"/>
    <col min="5" max="6" width="19.6640625" style="30" customWidth="1"/>
    <col min="7" max="8" width="15.88671875" style="30" customWidth="1"/>
    <col min="9" max="16384" width="9.109375" style="30"/>
  </cols>
  <sheetData>
    <row r="1" spans="1:9" ht="24" customHeight="1" x14ac:dyDescent="0.3">
      <c r="A1" s="27" t="s">
        <v>0</v>
      </c>
      <c r="B1" s="28"/>
      <c r="C1" s="28"/>
      <c r="D1" s="28"/>
      <c r="E1" s="28"/>
      <c r="F1" s="29"/>
      <c r="G1" s="29"/>
      <c r="H1" s="29"/>
      <c r="I1" s="29"/>
    </row>
    <row r="2" spans="1:9" x14ac:dyDescent="0.3">
      <c r="A2" s="52" t="s">
        <v>17</v>
      </c>
      <c r="B2" s="52"/>
      <c r="C2" s="52"/>
      <c r="D2" s="52"/>
      <c r="E2" s="52"/>
      <c r="F2" s="29"/>
      <c r="G2" s="29"/>
      <c r="H2" s="29"/>
      <c r="I2" s="29"/>
    </row>
    <row r="3" spans="1:9" ht="24" customHeight="1" x14ac:dyDescent="0.3">
      <c r="A3" s="31"/>
      <c r="B3" s="31"/>
      <c r="C3" s="31"/>
      <c r="D3" s="31"/>
      <c r="E3" s="31"/>
      <c r="F3" s="31"/>
      <c r="G3" s="29"/>
      <c r="H3" s="29"/>
      <c r="I3" s="29"/>
    </row>
    <row r="4" spans="1:9" x14ac:dyDescent="0.3">
      <c r="A4" s="53" t="s">
        <v>18</v>
      </c>
      <c r="B4" s="53"/>
      <c r="C4" s="53"/>
      <c r="D4" s="53"/>
      <c r="E4" s="53"/>
      <c r="F4" s="53"/>
      <c r="G4" s="32"/>
      <c r="H4" s="33"/>
      <c r="I4" s="34"/>
    </row>
    <row r="5" spans="1:9" x14ac:dyDescent="0.3">
      <c r="A5" s="50" t="s">
        <v>19</v>
      </c>
      <c r="B5" s="50"/>
      <c r="C5" s="50"/>
      <c r="D5" s="50" t="s">
        <v>20</v>
      </c>
      <c r="E5" s="50"/>
      <c r="F5" s="50"/>
      <c r="G5" s="35"/>
    </row>
    <row r="6" spans="1:9" ht="24" customHeight="1" x14ac:dyDescent="0.3">
      <c r="A6" s="51" t="s">
        <v>21</v>
      </c>
      <c r="B6" s="51"/>
      <c r="C6" s="51"/>
      <c r="D6" s="51" t="s">
        <v>22</v>
      </c>
      <c r="E6" s="51"/>
      <c r="F6" s="51"/>
      <c r="G6" s="35"/>
    </row>
    <row r="7" spans="1:9" x14ac:dyDescent="0.3">
      <c r="A7" s="50" t="s">
        <v>23</v>
      </c>
      <c r="B7" s="50"/>
      <c r="C7" s="50"/>
      <c r="D7" s="50" t="s">
        <v>24</v>
      </c>
      <c r="E7" s="50"/>
      <c r="F7" s="50"/>
      <c r="G7" s="35"/>
    </row>
    <row r="8" spans="1:9" ht="24" customHeight="1" x14ac:dyDescent="0.3">
      <c r="A8" s="51">
        <v>800085883</v>
      </c>
      <c r="B8" s="51"/>
      <c r="C8" s="51"/>
      <c r="D8" s="51" t="s">
        <v>25</v>
      </c>
      <c r="E8" s="51"/>
      <c r="F8" s="51"/>
      <c r="G8" s="35"/>
    </row>
    <row r="9" spans="1:9" ht="13.95" customHeight="1" x14ac:dyDescent="0.3">
      <c r="A9" s="54" t="s">
        <v>26</v>
      </c>
      <c r="B9" s="55"/>
      <c r="C9" s="56"/>
      <c r="D9" s="57">
        <v>44553</v>
      </c>
      <c r="E9" s="51"/>
      <c r="F9" s="51"/>
      <c r="G9" s="35"/>
    </row>
    <row r="10" spans="1:9" x14ac:dyDescent="0.3">
      <c r="A10" s="50" t="s">
        <v>27</v>
      </c>
      <c r="B10" s="50"/>
      <c r="C10" s="50"/>
      <c r="D10" s="57">
        <v>46014</v>
      </c>
      <c r="E10" s="51"/>
      <c r="F10" s="51"/>
      <c r="G10" s="35"/>
    </row>
    <row r="11" spans="1:9" x14ac:dyDescent="0.3">
      <c r="A11" s="50" t="s">
        <v>28</v>
      </c>
      <c r="B11" s="50"/>
      <c r="C11" s="50"/>
      <c r="D11" s="50"/>
      <c r="E11" s="50"/>
      <c r="F11" s="50"/>
      <c r="G11" s="35"/>
    </row>
    <row r="12" spans="1:9" ht="45" customHeight="1" x14ac:dyDescent="0.3">
      <c r="A12" s="59" t="s">
        <v>29</v>
      </c>
      <c r="B12" s="59"/>
      <c r="C12" s="59"/>
      <c r="D12" s="59"/>
      <c r="E12" s="59"/>
      <c r="F12" s="59"/>
      <c r="G12" s="35"/>
    </row>
    <row r="13" spans="1:9" x14ac:dyDescent="0.3">
      <c r="A13" s="50" t="s">
        <v>30</v>
      </c>
      <c r="B13" s="50"/>
      <c r="C13" s="50"/>
      <c r="D13" s="50"/>
      <c r="E13" s="50"/>
      <c r="F13" s="50"/>
      <c r="G13" s="35"/>
    </row>
    <row r="14" spans="1:9" ht="219.75" customHeight="1" x14ac:dyDescent="0.3">
      <c r="A14" s="26" t="s">
        <v>31</v>
      </c>
      <c r="B14" s="26" t="s">
        <v>32</v>
      </c>
      <c r="C14" s="58" t="s">
        <v>33</v>
      </c>
      <c r="D14" s="58"/>
      <c r="E14" s="58"/>
      <c r="F14" s="58"/>
      <c r="G14" s="35"/>
    </row>
    <row r="15" spans="1:9" x14ac:dyDescent="0.3">
      <c r="A15" s="50" t="s">
        <v>34</v>
      </c>
      <c r="B15" s="50"/>
      <c r="C15" s="50"/>
      <c r="D15" s="50"/>
      <c r="E15" s="50"/>
      <c r="F15" s="50"/>
      <c r="G15" s="35"/>
    </row>
    <row r="16" spans="1:9" x14ac:dyDescent="0.3">
      <c r="A16" s="50" t="s">
        <v>35</v>
      </c>
      <c r="B16" s="50"/>
      <c r="C16" s="22" t="s">
        <v>120</v>
      </c>
      <c r="D16" s="36" t="s">
        <v>36</v>
      </c>
      <c r="E16" s="51" t="s">
        <v>121</v>
      </c>
      <c r="F16" s="51"/>
      <c r="G16" s="35"/>
    </row>
    <row r="17" spans="1:12" x14ac:dyDescent="0.3">
      <c r="A17" s="50" t="s">
        <v>37</v>
      </c>
      <c r="B17" s="50"/>
      <c r="C17" s="50"/>
      <c r="D17" s="50"/>
      <c r="E17" s="50"/>
      <c r="F17" s="50"/>
      <c r="G17" s="35"/>
    </row>
    <row r="18" spans="1:12" ht="14.25" customHeight="1" x14ac:dyDescent="0.25">
      <c r="A18" s="60" t="s">
        <v>38</v>
      </c>
      <c r="B18" s="60"/>
      <c r="C18" s="60"/>
      <c r="D18" s="60"/>
      <c r="E18" s="60"/>
      <c r="F18" s="60"/>
      <c r="G18" s="35"/>
    </row>
    <row r="19" spans="1:12" x14ac:dyDescent="0.3">
      <c r="A19" s="50" t="s">
        <v>39</v>
      </c>
      <c r="B19" s="50"/>
      <c r="C19" s="50"/>
      <c r="D19" s="50"/>
      <c r="E19" s="50"/>
      <c r="F19" s="50"/>
      <c r="G19" s="35"/>
    </row>
    <row r="20" spans="1:12" ht="34.5" customHeight="1" x14ac:dyDescent="0.3">
      <c r="A20" s="51" t="s">
        <v>40</v>
      </c>
      <c r="B20" s="51"/>
      <c r="C20" s="51"/>
      <c r="D20" s="51"/>
      <c r="E20" s="51"/>
      <c r="F20" s="51"/>
      <c r="G20" s="35"/>
    </row>
    <row r="21" spans="1:12" x14ac:dyDescent="0.3">
      <c r="A21" s="50" t="s">
        <v>41</v>
      </c>
      <c r="B21" s="50"/>
      <c r="C21" s="50"/>
      <c r="D21" s="50"/>
      <c r="E21" s="50"/>
      <c r="F21" s="50"/>
      <c r="G21" s="35"/>
    </row>
    <row r="22" spans="1:12" x14ac:dyDescent="0.3">
      <c r="A22" s="50" t="s">
        <v>42</v>
      </c>
      <c r="B22" s="50" t="s">
        <v>43</v>
      </c>
      <c r="C22" s="50" t="s">
        <v>44</v>
      </c>
      <c r="D22" s="50" t="s">
        <v>45</v>
      </c>
      <c r="E22" s="50" t="s">
        <v>46</v>
      </c>
      <c r="F22" s="50"/>
      <c r="G22" s="35"/>
    </row>
    <row r="23" spans="1:12" x14ac:dyDescent="0.3">
      <c r="A23" s="50"/>
      <c r="B23" s="50"/>
      <c r="C23" s="50"/>
      <c r="D23" s="50"/>
      <c r="E23" s="20" t="s">
        <v>47</v>
      </c>
      <c r="F23" s="20" t="s">
        <v>48</v>
      </c>
      <c r="G23" s="35"/>
    </row>
    <row r="24" spans="1:12" x14ac:dyDescent="0.3">
      <c r="A24" s="61" t="s">
        <v>49</v>
      </c>
      <c r="B24" s="23" t="s">
        <v>50</v>
      </c>
      <c r="C24" s="21" t="s">
        <v>51</v>
      </c>
      <c r="D24" s="21" t="s">
        <v>52</v>
      </c>
      <c r="E24" s="24">
        <v>45311</v>
      </c>
      <c r="F24" s="24">
        <v>46196</v>
      </c>
      <c r="G24" s="35"/>
    </row>
    <row r="25" spans="1:12" ht="41.4" x14ac:dyDescent="0.3">
      <c r="A25" s="61"/>
      <c r="B25" s="23" t="s">
        <v>122</v>
      </c>
      <c r="C25" s="21" t="s">
        <v>51</v>
      </c>
      <c r="D25" s="21" t="s">
        <v>52</v>
      </c>
      <c r="E25" s="24">
        <v>45311</v>
      </c>
      <c r="F25" s="24">
        <v>46196</v>
      </c>
      <c r="G25" s="35"/>
    </row>
    <row r="26" spans="1:12" ht="27.6" x14ac:dyDescent="0.3">
      <c r="A26" s="61"/>
      <c r="B26" s="23" t="s">
        <v>53</v>
      </c>
      <c r="C26" s="21" t="s">
        <v>51</v>
      </c>
      <c r="D26" s="21" t="s">
        <v>52</v>
      </c>
      <c r="E26" s="24">
        <v>45311</v>
      </c>
      <c r="F26" s="24">
        <v>47110</v>
      </c>
      <c r="G26" s="35"/>
    </row>
    <row r="27" spans="1:12" ht="55.2" x14ac:dyDescent="0.3">
      <c r="A27" s="25" t="s">
        <v>54</v>
      </c>
      <c r="B27" s="23" t="s">
        <v>55</v>
      </c>
      <c r="C27" s="21" t="s">
        <v>51</v>
      </c>
      <c r="D27" s="21" t="s">
        <v>56</v>
      </c>
      <c r="E27" s="24">
        <v>45311</v>
      </c>
      <c r="F27" s="24">
        <v>46196</v>
      </c>
      <c r="G27" s="35"/>
    </row>
    <row r="28" spans="1:12" ht="82.8" x14ac:dyDescent="0.3">
      <c r="A28" s="25" t="s">
        <v>57</v>
      </c>
      <c r="B28" s="23" t="s">
        <v>58</v>
      </c>
      <c r="C28" s="21" t="s">
        <v>59</v>
      </c>
      <c r="D28" s="21" t="s">
        <v>59</v>
      </c>
      <c r="E28" s="21" t="s">
        <v>59</v>
      </c>
      <c r="F28" s="21" t="s">
        <v>59</v>
      </c>
      <c r="G28" s="35"/>
    </row>
    <row r="29" spans="1:12" x14ac:dyDescent="0.3">
      <c r="A29" s="50" t="s">
        <v>60</v>
      </c>
      <c r="B29" s="50"/>
      <c r="C29" s="50"/>
      <c r="D29" s="50"/>
      <c r="E29" s="50"/>
      <c r="F29" s="50"/>
      <c r="G29" s="35"/>
    </row>
    <row r="30" spans="1:12" x14ac:dyDescent="0.3">
      <c r="A30" s="20" t="s">
        <v>61</v>
      </c>
      <c r="B30" s="20" t="s">
        <v>62</v>
      </c>
      <c r="C30" s="20" t="s">
        <v>63</v>
      </c>
      <c r="D30" s="50" t="s">
        <v>64</v>
      </c>
      <c r="E30" s="50"/>
      <c r="F30" s="20" t="s">
        <v>65</v>
      </c>
      <c r="G30" s="35"/>
    </row>
    <row r="31" spans="1:12" ht="151.80000000000001" x14ac:dyDescent="0.3">
      <c r="A31" s="25" t="s">
        <v>66</v>
      </c>
      <c r="B31" s="21" t="s">
        <v>67</v>
      </c>
      <c r="C31" s="21" t="s">
        <v>68</v>
      </c>
      <c r="D31" s="51" t="s">
        <v>69</v>
      </c>
      <c r="E31" s="51"/>
      <c r="F31" s="21" t="s">
        <v>70</v>
      </c>
      <c r="G31" s="35"/>
      <c r="H31" s="37" t="s">
        <v>67</v>
      </c>
      <c r="I31" s="37" t="s">
        <v>71</v>
      </c>
      <c r="J31" s="37" t="s">
        <v>72</v>
      </c>
      <c r="K31" s="37" t="s">
        <v>73</v>
      </c>
      <c r="L31" s="37" t="s">
        <v>74</v>
      </c>
    </row>
    <row r="32" spans="1:12" x14ac:dyDescent="0.3">
      <c r="A32" s="25" t="s">
        <v>75</v>
      </c>
      <c r="B32" s="21" t="s">
        <v>59</v>
      </c>
      <c r="C32" s="21" t="s">
        <v>59</v>
      </c>
      <c r="D32" s="51" t="s">
        <v>59</v>
      </c>
      <c r="E32" s="51"/>
      <c r="F32" s="21" t="s">
        <v>59</v>
      </c>
      <c r="G32" s="35"/>
      <c r="H32" s="37" t="s">
        <v>76</v>
      </c>
      <c r="I32" s="38" t="s">
        <v>68</v>
      </c>
      <c r="J32" s="37" t="s">
        <v>77</v>
      </c>
      <c r="K32" s="37" t="s">
        <v>78</v>
      </c>
      <c r="L32" s="37" t="s">
        <v>79</v>
      </c>
    </row>
    <row r="33" spans="1:12" x14ac:dyDescent="0.3">
      <c r="A33" s="25" t="s">
        <v>80</v>
      </c>
      <c r="B33" s="21" t="s">
        <v>59</v>
      </c>
      <c r="C33" s="21" t="s">
        <v>59</v>
      </c>
      <c r="D33" s="51" t="s">
        <v>59</v>
      </c>
      <c r="E33" s="51"/>
      <c r="F33" s="21" t="s">
        <v>59</v>
      </c>
      <c r="G33" s="35"/>
      <c r="H33" s="37" t="s">
        <v>81</v>
      </c>
      <c r="I33" s="38" t="s">
        <v>82</v>
      </c>
      <c r="K33" s="37" t="s">
        <v>83</v>
      </c>
      <c r="L33" s="37" t="s">
        <v>84</v>
      </c>
    </row>
    <row r="34" spans="1:12" ht="27.6" x14ac:dyDescent="0.3">
      <c r="A34" s="25" t="s">
        <v>85</v>
      </c>
      <c r="B34" s="21" t="s">
        <v>59</v>
      </c>
      <c r="C34" s="21" t="s">
        <v>59</v>
      </c>
      <c r="D34" s="51" t="s">
        <v>59</v>
      </c>
      <c r="E34" s="51"/>
      <c r="F34" s="21" t="s">
        <v>59</v>
      </c>
      <c r="G34" s="35"/>
      <c r="H34" s="37" t="s">
        <v>86</v>
      </c>
      <c r="I34" s="37" t="s">
        <v>87</v>
      </c>
      <c r="K34" s="37" t="s">
        <v>88</v>
      </c>
      <c r="L34" s="37" t="s">
        <v>89</v>
      </c>
    </row>
    <row r="35" spans="1:12" x14ac:dyDescent="0.3">
      <c r="A35" s="50" t="s">
        <v>90</v>
      </c>
      <c r="B35" s="50"/>
      <c r="C35" s="50"/>
      <c r="D35" s="50"/>
      <c r="E35" s="50"/>
      <c r="F35" s="50"/>
      <c r="G35" s="35"/>
    </row>
    <row r="36" spans="1:12" x14ac:dyDescent="0.3">
      <c r="A36" s="50" t="s">
        <v>91</v>
      </c>
      <c r="B36" s="50"/>
      <c r="C36" s="20" t="s">
        <v>63</v>
      </c>
      <c r="D36" s="50" t="s">
        <v>64</v>
      </c>
      <c r="E36" s="50"/>
      <c r="F36" s="20" t="s">
        <v>92</v>
      </c>
      <c r="G36" s="35"/>
    </row>
    <row r="37" spans="1:12" ht="42" customHeight="1" x14ac:dyDescent="0.3">
      <c r="A37" s="51" t="s">
        <v>93</v>
      </c>
      <c r="B37" s="51"/>
      <c r="C37" s="21" t="s">
        <v>94</v>
      </c>
      <c r="D37" s="51" t="s">
        <v>95</v>
      </c>
      <c r="E37" s="51"/>
      <c r="F37" s="21" t="s">
        <v>96</v>
      </c>
      <c r="G37" s="35"/>
    </row>
    <row r="38" spans="1:12" ht="15" customHeight="1" x14ac:dyDescent="0.3">
      <c r="A38" s="50" t="s">
        <v>97</v>
      </c>
      <c r="B38" s="50"/>
      <c r="C38" s="50"/>
      <c r="D38" s="50"/>
      <c r="E38" s="50"/>
      <c r="F38" s="50"/>
      <c r="G38" s="35"/>
    </row>
    <row r="39" spans="1:12" x14ac:dyDescent="0.3">
      <c r="A39" s="50" t="s">
        <v>91</v>
      </c>
      <c r="B39" s="50"/>
      <c r="C39" s="20" t="s">
        <v>63</v>
      </c>
      <c r="D39" s="50" t="s">
        <v>64</v>
      </c>
      <c r="E39" s="50"/>
      <c r="F39" s="20" t="s">
        <v>92</v>
      </c>
      <c r="G39" s="35"/>
    </row>
    <row r="40" spans="1:12" ht="59.25" customHeight="1" x14ac:dyDescent="0.3">
      <c r="A40" s="51" t="s">
        <v>98</v>
      </c>
      <c r="B40" s="51"/>
      <c r="C40" s="21" t="s">
        <v>94</v>
      </c>
      <c r="D40" s="51" t="s">
        <v>99</v>
      </c>
      <c r="E40" s="51"/>
      <c r="F40" s="21" t="s">
        <v>96</v>
      </c>
      <c r="G40" s="35"/>
    </row>
    <row r="41" spans="1:12" x14ac:dyDescent="0.25">
      <c r="A41" s="47" t="s">
        <v>100</v>
      </c>
      <c r="B41" s="47"/>
      <c r="C41" s="47"/>
      <c r="D41" s="47"/>
      <c r="E41" s="47"/>
      <c r="F41" s="47"/>
      <c r="G41" s="35"/>
    </row>
    <row r="42" spans="1:12" ht="15" customHeight="1" x14ac:dyDescent="0.25">
      <c r="A42" s="47" t="s">
        <v>101</v>
      </c>
      <c r="B42" s="47"/>
      <c r="C42" s="47"/>
      <c r="D42" s="48">
        <v>21</v>
      </c>
      <c r="E42" s="48"/>
      <c r="F42" s="48"/>
      <c r="G42" s="35"/>
    </row>
    <row r="43" spans="1:12" ht="169.2" customHeight="1" x14ac:dyDescent="0.3">
      <c r="A43" s="49" t="s">
        <v>123</v>
      </c>
      <c r="B43" s="49"/>
      <c r="C43" s="49"/>
      <c r="D43" s="49"/>
      <c r="E43" s="49"/>
      <c r="F43" s="49"/>
      <c r="G43" s="35"/>
    </row>
    <row r="44" spans="1:12" ht="14.25" customHeight="1" x14ac:dyDescent="0.25">
      <c r="A44" s="47" t="s">
        <v>102</v>
      </c>
      <c r="B44" s="63"/>
      <c r="C44" s="63"/>
      <c r="D44" s="63"/>
      <c r="E44" s="63"/>
      <c r="F44" s="63"/>
      <c r="G44" s="35"/>
    </row>
    <row r="45" spans="1:12" ht="15" customHeight="1" x14ac:dyDescent="0.25">
      <c r="A45" s="47" t="s">
        <v>103</v>
      </c>
      <c r="B45" s="47"/>
      <c r="C45" s="47"/>
      <c r="D45" s="60" t="s">
        <v>104</v>
      </c>
      <c r="E45" s="60"/>
      <c r="F45" s="60"/>
      <c r="G45" s="35"/>
    </row>
    <row r="46" spans="1:12" ht="15" customHeight="1" x14ac:dyDescent="0.25">
      <c r="A46" s="47" t="s">
        <v>105</v>
      </c>
      <c r="B46" s="47"/>
      <c r="C46" s="47"/>
      <c r="D46" s="60" t="s">
        <v>106</v>
      </c>
      <c r="E46" s="60"/>
      <c r="F46" s="60"/>
      <c r="G46" s="35"/>
    </row>
    <row r="47" spans="1:12" ht="30" customHeight="1" x14ac:dyDescent="0.25">
      <c r="A47" s="47" t="s">
        <v>107</v>
      </c>
      <c r="B47" s="47"/>
      <c r="C47" s="47"/>
      <c r="D47" s="65">
        <v>1709887680</v>
      </c>
      <c r="E47" s="65"/>
      <c r="F47" s="65"/>
      <c r="G47" s="35"/>
    </row>
    <row r="48" spans="1:12" ht="15" customHeight="1" x14ac:dyDescent="0.25">
      <c r="A48" s="47" t="s">
        <v>108</v>
      </c>
      <c r="B48" s="47"/>
      <c r="C48" s="47"/>
      <c r="D48" s="65">
        <v>32794000</v>
      </c>
      <c r="E48" s="65"/>
      <c r="F48" s="65"/>
      <c r="G48" s="35"/>
    </row>
    <row r="49" spans="1:7" ht="15" customHeight="1" x14ac:dyDescent="0.25">
      <c r="A49" s="47" t="s">
        <v>109</v>
      </c>
      <c r="B49" s="47"/>
      <c r="C49" s="47"/>
      <c r="D49" s="65">
        <v>0</v>
      </c>
      <c r="E49" s="65"/>
      <c r="F49" s="65"/>
      <c r="G49" s="35"/>
    </row>
    <row r="50" spans="1:7" ht="32.25" customHeight="1" x14ac:dyDescent="0.25">
      <c r="A50" s="47" t="s">
        <v>110</v>
      </c>
      <c r="B50" s="47"/>
      <c r="C50" s="47"/>
      <c r="D50" s="65">
        <f>+D47+D48+D49</f>
        <v>1742681680</v>
      </c>
      <c r="E50" s="65"/>
      <c r="F50" s="65"/>
      <c r="G50" s="35"/>
    </row>
    <row r="51" spans="1:7" ht="14.25" customHeight="1" x14ac:dyDescent="0.25">
      <c r="A51" s="47" t="s">
        <v>111</v>
      </c>
      <c r="B51" s="63"/>
      <c r="C51" s="63"/>
      <c r="D51" s="63"/>
      <c r="E51" s="63"/>
      <c r="F51" s="63"/>
      <c r="G51" s="35"/>
    </row>
    <row r="52" spans="1:7" ht="141.6" customHeight="1" x14ac:dyDescent="0.3">
      <c r="A52" s="49" t="s">
        <v>119</v>
      </c>
      <c r="B52" s="49"/>
      <c r="C52" s="49"/>
      <c r="D52" s="49"/>
      <c r="E52" s="49"/>
      <c r="F52" s="49"/>
      <c r="G52" s="35"/>
    </row>
    <row r="53" spans="1:7" x14ac:dyDescent="0.3">
      <c r="A53" s="50" t="s">
        <v>112</v>
      </c>
      <c r="B53" s="50"/>
      <c r="C53" s="50"/>
      <c r="D53" s="50"/>
      <c r="E53" s="50"/>
      <c r="F53" s="50"/>
      <c r="G53" s="35"/>
    </row>
    <row r="54" spans="1:7" x14ac:dyDescent="0.3">
      <c r="A54" s="50" t="s">
        <v>113</v>
      </c>
      <c r="B54" s="61"/>
      <c r="C54" s="61"/>
      <c r="D54" s="61"/>
      <c r="E54" s="61"/>
      <c r="F54" s="61"/>
      <c r="G54" s="35"/>
    </row>
    <row r="55" spans="1:7" ht="14.25" customHeight="1" x14ac:dyDescent="0.3">
      <c r="A55" s="62" t="s">
        <v>114</v>
      </c>
      <c r="B55" s="62"/>
      <c r="C55" s="62"/>
      <c r="D55" s="62"/>
      <c r="E55" s="62"/>
      <c r="F55" s="62"/>
      <c r="G55" s="35"/>
    </row>
    <row r="56" spans="1:7" ht="14.25" customHeight="1" x14ac:dyDescent="0.3">
      <c r="A56" s="62" t="s">
        <v>115</v>
      </c>
      <c r="B56" s="62"/>
      <c r="C56" s="62"/>
      <c r="D56" s="62"/>
      <c r="E56" s="62"/>
      <c r="F56" s="62"/>
      <c r="G56" s="35"/>
    </row>
    <row r="57" spans="1:7" ht="34.5" customHeight="1" x14ac:dyDescent="0.3">
      <c r="A57" s="64" t="s">
        <v>116</v>
      </c>
      <c r="B57" s="64"/>
      <c r="C57" s="64"/>
      <c r="D57" s="64"/>
      <c r="E57" s="64"/>
      <c r="F57" s="64"/>
      <c r="G57" s="35"/>
    </row>
    <row r="58" spans="1:7" ht="15" customHeight="1" x14ac:dyDescent="0.3">
      <c r="A58" s="64" t="s">
        <v>117</v>
      </c>
      <c r="B58" s="62"/>
      <c r="C58" s="62"/>
      <c r="D58" s="62"/>
      <c r="E58" s="62"/>
      <c r="F58" s="62"/>
      <c r="G58" s="35"/>
    </row>
    <row r="59" spans="1:7" ht="16.5" customHeight="1" x14ac:dyDescent="0.3">
      <c r="A59" s="64" t="s">
        <v>118</v>
      </c>
      <c r="B59" s="62"/>
      <c r="C59" s="62"/>
      <c r="D59" s="62"/>
      <c r="E59" s="62"/>
      <c r="F59" s="62"/>
      <c r="G59" s="35"/>
    </row>
    <row r="60" spans="1:7" ht="37.5" customHeight="1" x14ac:dyDescent="0.3">
      <c r="A60" s="64" t="s">
        <v>116</v>
      </c>
      <c r="B60" s="64"/>
      <c r="C60" s="64"/>
      <c r="D60" s="64"/>
      <c r="E60" s="64"/>
      <c r="F60" s="64"/>
      <c r="G60" s="35"/>
    </row>
    <row r="61" spans="1:7" x14ac:dyDescent="0.3">
      <c r="A61" s="39"/>
      <c r="B61" s="39"/>
      <c r="C61" s="39"/>
      <c r="D61" s="39"/>
      <c r="E61" s="39"/>
      <c r="F61" s="39"/>
    </row>
    <row r="63" spans="1:7" x14ac:dyDescent="0.3">
      <c r="B63" s="40"/>
    </row>
  </sheetData>
  <mergeCells count="75">
    <mergeCell ref="A60:F60"/>
    <mergeCell ref="A51:F51"/>
    <mergeCell ref="A52:F52"/>
    <mergeCell ref="A53:F53"/>
    <mergeCell ref="A54:F54"/>
    <mergeCell ref="A57:F57"/>
    <mergeCell ref="A58:F58"/>
    <mergeCell ref="A59:F59"/>
    <mergeCell ref="A55:F55"/>
    <mergeCell ref="A50:C50"/>
    <mergeCell ref="D50:F50"/>
    <mergeCell ref="A44:F44"/>
    <mergeCell ref="A45:C45"/>
    <mergeCell ref="D45:F4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D33:E33"/>
    <mergeCell ref="D34:E34"/>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5">
    <dataValidation type="list" allowBlank="1" showInputMessage="1" showErrorMessage="1" sqref="C32:C34 B32:B33" xr:uid="{00000000-0002-0000-0100-000000000000}">
      <formula1>$I$31:$I$39</formula1>
    </dataValidation>
    <dataValidation type="list" allowBlank="1" showInputMessage="1" showErrorMessage="1" sqref="C31" xr:uid="{00000000-0002-0000-0100-000001000000}">
      <formula1>$I$31:$I$36</formula1>
    </dataValidation>
    <dataValidation type="list" allowBlank="1" showInputMessage="1" showErrorMessage="1" sqref="B31" xr:uid="{00000000-0002-0000-0100-000002000000}">
      <formula1>$H$31:$H$39</formula1>
    </dataValidation>
    <dataValidation type="list" allowBlank="1" showInputMessage="1" showErrorMessage="1" sqref="B34" xr:uid="{00000000-0002-0000-0100-000003000000}">
      <formula1>$H$38:$H$39</formula1>
    </dataValidation>
    <dataValidation type="list" allowBlank="1" showInputMessage="1" showErrorMessage="1" sqref="F37 F40" xr:uid="{00000000-0002-0000-0100-000004000000}">
      <formula1>$I$37:$I$39</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ds:schemaRefs>
    <ds:schemaRef ds:uri="676d5b36-f216-4954-be05-d616da7a8256"/>
    <ds:schemaRef ds:uri="http://purl.org/dc/elements/1.1/"/>
    <ds:schemaRef ds:uri="http://schemas.openxmlformats.org/package/2006/metadata/core-properties"/>
    <ds:schemaRef ds:uri="8fdaa9ae-9629-43e8-b999-4a109998d624"/>
    <ds:schemaRef ds:uri="http://schemas.microsoft.com/office/2006/metadata/properties"/>
    <ds:schemaRef ds:uri="http://schemas.microsoft.com/office/2006/documentManagement/types"/>
    <ds:schemaRef ds:uri="http://purl.org/dc/term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E5D3EF60-A016-4E23-A93E-80CF36EBC73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2026-02-03T15:54:57Z</cp:lastPrinted>
  <dcterms:created xsi:type="dcterms:W3CDTF">2015-06-05T18:19:34Z</dcterms:created>
  <dcterms:modified xsi:type="dcterms:W3CDTF">2026-02-03T15:56:22Z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