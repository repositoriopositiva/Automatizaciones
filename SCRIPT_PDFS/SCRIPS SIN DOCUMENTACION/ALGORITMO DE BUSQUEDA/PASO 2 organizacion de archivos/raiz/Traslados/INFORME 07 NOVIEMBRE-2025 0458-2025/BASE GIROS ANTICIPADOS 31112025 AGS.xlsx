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zamora\OneDrive - AGS COlombia SAS\INFORMES\INFORMES 2025\NOVIEMBRE 2025\0458-2025-900912423-07-2025\"/>
    </mc:Choice>
  </mc:AlternateContent>
  <xr:revisionPtr revIDLastSave="0" documentId="8_{A8105B6E-04A9-46A1-9E23-C82F516D74D1}" xr6:coauthVersionLast="47" xr6:coauthVersionMax="47" xr10:uidLastSave="{00000000-0000-0000-0000-000000000000}"/>
  <bookViews>
    <workbookView xWindow="-120" yWindow="-120" windowWidth="29040" windowHeight="15720" xr2:uid="{8976AFB9-7E68-4B9F-9E6B-578D2AE13064}"/>
  </bookViews>
  <sheets>
    <sheet name="PlantillaGirosAnticipados." sheetId="1" r:id="rId1"/>
    <sheet name="ANEXOS" sheetId="2" state="hidden" r:id="rId2"/>
  </sheets>
  <externalReferences>
    <externalReference r:id="rId3"/>
    <externalReference r:id="rId4"/>
  </externalReferences>
  <definedNames>
    <definedName name="_xlnm._FilterDatabase" localSheetId="0" hidden="1">PlantillaGirosAnticipados.!$A$3:$K$3</definedName>
    <definedName name="ChartRange">OFFSET([1]Importar!#REF!,1,0,COUNT([1]Importar!$C:$C))</definedName>
    <definedName name="claves">'[2]ARCHIVO MAESTRO CIF 2019 MINA'!#REF!</definedName>
    <definedName name="Formulas">#REF!</definedName>
    <definedName name="Formulas2">#REF!</definedName>
    <definedName name="Formulas3">#REF!</definedName>
    <definedName name="Formulas4">#REF!</definedName>
    <definedName name="inicio">[1]Importar!#REF!</definedName>
    <definedName name="NombreCIF">#REF!</definedName>
    <definedName name="nombreperfil">[2]Interfaz!$I$3</definedName>
    <definedName name="Perfil">[2]PERMISOS!$B$7:$B$10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63" i="1" l="1"/>
  <c r="G2" i="1"/>
  <c r="H462" i="1" l="1"/>
  <c r="H459" i="1"/>
  <c r="H458" i="1"/>
  <c r="H447" i="1"/>
  <c r="H446" i="1"/>
  <c r="H444" i="1"/>
  <c r="H441" i="1"/>
  <c r="H440" i="1"/>
  <c r="H429" i="1"/>
  <c r="H428" i="1"/>
  <c r="H426" i="1"/>
  <c r="H423" i="1"/>
  <c r="H422" i="1"/>
  <c r="H411" i="1"/>
  <c r="H410" i="1"/>
  <c r="H408" i="1"/>
  <c r="H405" i="1"/>
  <c r="H404" i="1"/>
  <c r="H393" i="1"/>
  <c r="H392" i="1"/>
  <c r="H390" i="1"/>
  <c r="H387" i="1"/>
  <c r="H386" i="1"/>
  <c r="H375" i="1"/>
  <c r="H374" i="1"/>
  <c r="H372" i="1"/>
  <c r="H369" i="1"/>
  <c r="H368" i="1"/>
  <c r="H357" i="1"/>
  <c r="H356" i="1"/>
  <c r="H354" i="1"/>
  <c r="H351" i="1"/>
  <c r="H350" i="1"/>
  <c r="H339" i="1"/>
  <c r="H338" i="1"/>
  <c r="H336" i="1"/>
  <c r="H333" i="1"/>
  <c r="H332" i="1"/>
  <c r="H321" i="1"/>
  <c r="H320" i="1"/>
  <c r="H318" i="1"/>
  <c r="H315" i="1"/>
  <c r="H314" i="1"/>
  <c r="H303" i="1"/>
  <c r="H302" i="1"/>
  <c r="H300" i="1"/>
  <c r="H297" i="1"/>
  <c r="H296" i="1"/>
  <c r="H285" i="1"/>
  <c r="H284" i="1"/>
  <c r="H282" i="1"/>
  <c r="H279" i="1"/>
  <c r="H278" i="1"/>
  <c r="H267" i="1"/>
  <c r="H266" i="1"/>
  <c r="H264" i="1"/>
  <c r="H261" i="1"/>
  <c r="H260" i="1"/>
  <c r="H249" i="1"/>
  <c r="H248" i="1"/>
  <c r="H246" i="1"/>
  <c r="H243" i="1"/>
  <c r="H242" i="1"/>
  <c r="H231" i="1"/>
  <c r="H230" i="1"/>
  <c r="H228" i="1"/>
  <c r="H225" i="1"/>
  <c r="H224" i="1"/>
  <c r="H213" i="1"/>
  <c r="H212" i="1"/>
  <c r="H210" i="1"/>
  <c r="H207" i="1"/>
  <c r="H206" i="1"/>
  <c r="H195" i="1"/>
  <c r="H194" i="1"/>
  <c r="H192" i="1"/>
  <c r="H189" i="1"/>
  <c r="H188" i="1"/>
  <c r="H177" i="1"/>
  <c r="H176" i="1"/>
  <c r="H174" i="1"/>
  <c r="H171" i="1"/>
  <c r="H170" i="1"/>
  <c r="H159" i="1"/>
  <c r="H158" i="1"/>
  <c r="H156" i="1"/>
  <c r="H153" i="1"/>
  <c r="H152" i="1"/>
  <c r="H141" i="1"/>
  <c r="H140" i="1"/>
  <c r="H138" i="1"/>
  <c r="H135" i="1"/>
  <c r="H134" i="1"/>
  <c r="H123" i="1"/>
  <c r="H122" i="1"/>
  <c r="H120" i="1"/>
  <c r="H117" i="1"/>
  <c r="H116" i="1"/>
  <c r="H105" i="1"/>
  <c r="H104" i="1"/>
  <c r="H102" i="1"/>
  <c r="H99" i="1"/>
  <c r="H98" i="1"/>
  <c r="H87" i="1"/>
  <c r="H86" i="1"/>
  <c r="H84" i="1"/>
  <c r="H81" i="1"/>
  <c r="H80" i="1"/>
  <c r="H69" i="1"/>
  <c r="H68" i="1"/>
  <c r="H66" i="1"/>
  <c r="H63" i="1"/>
  <c r="H62" i="1"/>
  <c r="H51" i="1"/>
  <c r="H50" i="1"/>
  <c r="H48" i="1"/>
  <c r="H45" i="1"/>
  <c r="H44" i="1"/>
  <c r="H33" i="1"/>
  <c r="H32" i="1"/>
  <c r="H30" i="1"/>
  <c r="H27" i="1"/>
  <c r="H26" i="1"/>
  <c r="H19" i="1"/>
  <c r="H15" i="1"/>
  <c r="H14" i="1"/>
  <c r="H12" i="1"/>
  <c r="H9" i="1"/>
  <c r="H8" i="1"/>
  <c r="H453" i="1"/>
  <c r="H452" i="1"/>
  <c r="H435" i="1"/>
  <c r="H434" i="1"/>
  <c r="H417" i="1"/>
  <c r="H416" i="1"/>
  <c r="H399" i="1"/>
  <c r="H398" i="1"/>
  <c r="H381" i="1"/>
  <c r="H380" i="1"/>
  <c r="H363" i="1"/>
  <c r="H362" i="1"/>
  <c r="H345" i="1"/>
  <c r="H344" i="1"/>
  <c r="H327" i="1"/>
  <c r="H326" i="1"/>
  <c r="H309" i="1"/>
  <c r="H308" i="1"/>
  <c r="H291" i="1"/>
  <c r="H290" i="1"/>
  <c r="H273" i="1"/>
  <c r="H272" i="1"/>
  <c r="H255" i="1"/>
  <c r="H254" i="1"/>
  <c r="H237" i="1"/>
  <c r="H236" i="1"/>
  <c r="H219" i="1"/>
  <c r="H218" i="1"/>
  <c r="H201" i="1"/>
  <c r="H200" i="1"/>
  <c r="H183" i="1"/>
  <c r="H182" i="1"/>
  <c r="H165" i="1"/>
  <c r="H164" i="1"/>
  <c r="H147" i="1"/>
  <c r="H146" i="1"/>
  <c r="H129" i="1"/>
  <c r="H128" i="1"/>
  <c r="H111" i="1"/>
  <c r="H110" i="1"/>
  <c r="H93" i="1"/>
  <c r="H92" i="1"/>
  <c r="H75" i="1"/>
  <c r="H74" i="1"/>
  <c r="H57" i="1"/>
  <c r="H56" i="1"/>
  <c r="H39" i="1"/>
  <c r="H38" i="1"/>
  <c r="H21" i="1"/>
  <c r="H20" i="1"/>
  <c r="H6" i="1"/>
  <c r="H5" i="1"/>
  <c r="H7" i="1"/>
  <c r="H10" i="1"/>
  <c r="H11" i="1"/>
  <c r="H13" i="1"/>
  <c r="H16" i="1"/>
  <c r="H17" i="1"/>
  <c r="H18" i="1"/>
  <c r="H22" i="1"/>
  <c r="H23" i="1"/>
  <c r="H24" i="1"/>
  <c r="H25" i="1"/>
  <c r="H28" i="1"/>
  <c r="H29" i="1"/>
  <c r="H31" i="1"/>
  <c r="H34" i="1"/>
  <c r="H35" i="1"/>
  <c r="H36" i="1"/>
  <c r="H37" i="1"/>
  <c r="H40" i="1"/>
  <c r="H41" i="1"/>
  <c r="H42" i="1"/>
  <c r="H43" i="1"/>
  <c r="H46" i="1"/>
  <c r="H47" i="1"/>
  <c r="H49" i="1"/>
  <c r="H52" i="1"/>
  <c r="H53" i="1"/>
  <c r="H54" i="1"/>
  <c r="H55" i="1"/>
  <c r="H58" i="1"/>
  <c r="H59" i="1"/>
  <c r="H60" i="1"/>
  <c r="H61" i="1"/>
  <c r="H64" i="1"/>
  <c r="H65" i="1"/>
  <c r="H67" i="1"/>
  <c r="H70" i="1"/>
  <c r="H71" i="1"/>
  <c r="H72" i="1"/>
  <c r="H73" i="1"/>
  <c r="H76" i="1"/>
  <c r="H77" i="1"/>
  <c r="H78" i="1"/>
  <c r="H79" i="1"/>
  <c r="H82" i="1"/>
  <c r="H83" i="1"/>
  <c r="H85" i="1"/>
  <c r="H88" i="1"/>
  <c r="H89" i="1"/>
  <c r="H90" i="1"/>
  <c r="H91" i="1"/>
  <c r="H94" i="1"/>
  <c r="H95" i="1"/>
  <c r="H96" i="1"/>
  <c r="H97" i="1"/>
  <c r="H100" i="1"/>
  <c r="H101" i="1"/>
  <c r="H103" i="1"/>
  <c r="H106" i="1"/>
  <c r="H107" i="1"/>
  <c r="H108" i="1"/>
  <c r="H109" i="1"/>
  <c r="H112" i="1"/>
  <c r="H113" i="1"/>
  <c r="H114" i="1"/>
  <c r="H115" i="1"/>
  <c r="H118" i="1"/>
  <c r="H119" i="1"/>
  <c r="H121" i="1"/>
  <c r="H124" i="1"/>
  <c r="H125" i="1"/>
  <c r="H126" i="1"/>
  <c r="H127" i="1"/>
  <c r="H130" i="1"/>
  <c r="H131" i="1"/>
  <c r="H132" i="1"/>
  <c r="H133" i="1"/>
  <c r="H136" i="1"/>
  <c r="H137" i="1"/>
  <c r="H139" i="1"/>
  <c r="H142" i="1"/>
  <c r="H143" i="1"/>
  <c r="H144" i="1"/>
  <c r="H145" i="1"/>
  <c r="H148" i="1"/>
  <c r="H149" i="1"/>
  <c r="H150" i="1"/>
  <c r="H151" i="1"/>
  <c r="H154" i="1"/>
  <c r="H155" i="1"/>
  <c r="H157" i="1"/>
  <c r="H160" i="1"/>
  <c r="H161" i="1"/>
  <c r="H162" i="1"/>
  <c r="H163" i="1"/>
  <c r="H166" i="1"/>
  <c r="H167" i="1"/>
  <c r="H168" i="1"/>
  <c r="H169" i="1"/>
  <c r="H172" i="1"/>
  <c r="H173" i="1"/>
  <c r="H175" i="1"/>
  <c r="H178" i="1"/>
  <c r="H179" i="1"/>
  <c r="H180" i="1"/>
  <c r="H181" i="1"/>
  <c r="H184" i="1"/>
  <c r="H185" i="1"/>
  <c r="H186" i="1"/>
  <c r="H187" i="1"/>
  <c r="H190" i="1"/>
  <c r="H191" i="1"/>
  <c r="H193" i="1"/>
  <c r="H196" i="1"/>
  <c r="H197" i="1"/>
  <c r="H198" i="1"/>
  <c r="H199" i="1"/>
  <c r="H202" i="1"/>
  <c r="H203" i="1"/>
  <c r="H204" i="1"/>
  <c r="H205" i="1"/>
  <c r="H208" i="1"/>
  <c r="H209" i="1"/>
  <c r="H211" i="1"/>
  <c r="H214" i="1"/>
  <c r="H215" i="1"/>
  <c r="H216" i="1"/>
  <c r="H217" i="1"/>
  <c r="H220" i="1"/>
  <c r="H221" i="1"/>
  <c r="H222" i="1"/>
  <c r="H223" i="1"/>
  <c r="H226" i="1"/>
  <c r="H227" i="1"/>
  <c r="H229" i="1"/>
  <c r="H232" i="1"/>
  <c r="H233" i="1"/>
  <c r="H234" i="1"/>
  <c r="H235" i="1"/>
  <c r="H238" i="1"/>
  <c r="H239" i="1"/>
  <c r="H240" i="1"/>
  <c r="H241" i="1"/>
  <c r="H244" i="1"/>
  <c r="H245" i="1"/>
  <c r="H247" i="1"/>
  <c r="H250" i="1"/>
  <c r="H251" i="1"/>
  <c r="H252" i="1"/>
  <c r="H253" i="1"/>
  <c r="H256" i="1"/>
  <c r="H257" i="1"/>
  <c r="H258" i="1"/>
  <c r="H259" i="1"/>
  <c r="H262" i="1"/>
  <c r="H263" i="1"/>
  <c r="H265" i="1"/>
  <c r="H268" i="1"/>
  <c r="H269" i="1"/>
  <c r="H270" i="1"/>
  <c r="H271" i="1"/>
  <c r="H274" i="1"/>
  <c r="H275" i="1"/>
  <c r="H276" i="1"/>
  <c r="H277" i="1"/>
  <c r="H280" i="1"/>
  <c r="H281" i="1"/>
  <c r="H283" i="1"/>
  <c r="H286" i="1"/>
  <c r="H287" i="1"/>
  <c r="H288" i="1"/>
  <c r="H289" i="1"/>
  <c r="H292" i="1"/>
  <c r="H293" i="1"/>
  <c r="H294" i="1"/>
  <c r="H295" i="1"/>
  <c r="H298" i="1"/>
  <c r="H299" i="1"/>
  <c r="H301" i="1"/>
  <c r="H304" i="1"/>
  <c r="H305" i="1"/>
  <c r="H306" i="1"/>
  <c r="H307" i="1"/>
  <c r="H310" i="1"/>
  <c r="H311" i="1"/>
  <c r="H312" i="1"/>
  <c r="H313" i="1"/>
  <c r="H316" i="1"/>
  <c r="H317" i="1"/>
  <c r="H319" i="1"/>
  <c r="H322" i="1"/>
  <c r="H323" i="1"/>
  <c r="H324" i="1"/>
  <c r="H325" i="1"/>
  <c r="H328" i="1"/>
  <c r="H329" i="1"/>
  <c r="H330" i="1"/>
  <c r="H331" i="1"/>
  <c r="H334" i="1"/>
  <c r="H335" i="1"/>
  <c r="H337" i="1"/>
  <c r="H340" i="1"/>
  <c r="H341" i="1"/>
  <c r="H342" i="1"/>
  <c r="H343" i="1"/>
  <c r="H346" i="1"/>
  <c r="H347" i="1"/>
  <c r="H348" i="1"/>
  <c r="H349" i="1"/>
  <c r="H352" i="1"/>
  <c r="H353" i="1"/>
  <c r="H355" i="1"/>
  <c r="H358" i="1"/>
  <c r="H359" i="1"/>
  <c r="H360" i="1"/>
  <c r="H361" i="1"/>
  <c r="H364" i="1"/>
  <c r="H365" i="1"/>
  <c r="H366" i="1"/>
  <c r="H367" i="1"/>
  <c r="H370" i="1"/>
  <c r="H371" i="1"/>
  <c r="H373" i="1"/>
  <c r="H376" i="1"/>
  <c r="H377" i="1"/>
  <c r="H378" i="1"/>
  <c r="H379" i="1"/>
  <c r="H382" i="1"/>
  <c r="H383" i="1"/>
  <c r="H384" i="1"/>
  <c r="H385" i="1"/>
  <c r="H388" i="1"/>
  <c r="H389" i="1"/>
  <c r="H391" i="1"/>
  <c r="H394" i="1"/>
  <c r="H395" i="1"/>
  <c r="H396" i="1"/>
  <c r="H397" i="1"/>
  <c r="H400" i="1"/>
  <c r="H401" i="1"/>
  <c r="H402" i="1"/>
  <c r="H403" i="1"/>
  <c r="H406" i="1"/>
  <c r="H407" i="1"/>
  <c r="H409" i="1"/>
  <c r="H412" i="1"/>
  <c r="H413" i="1"/>
  <c r="H414" i="1"/>
  <c r="H415" i="1"/>
  <c r="H418" i="1"/>
  <c r="H419" i="1"/>
  <c r="H420" i="1"/>
  <c r="H421" i="1"/>
  <c r="H424" i="1"/>
  <c r="H425" i="1"/>
  <c r="H427" i="1"/>
  <c r="H430" i="1"/>
  <c r="H431" i="1"/>
  <c r="H432" i="1"/>
  <c r="H433" i="1"/>
  <c r="H436" i="1"/>
  <c r="H437" i="1"/>
  <c r="H438" i="1"/>
  <c r="H439" i="1"/>
  <c r="H442" i="1"/>
  <c r="H443" i="1"/>
  <c r="H445" i="1"/>
  <c r="H448" i="1"/>
  <c r="H449" i="1"/>
  <c r="H450" i="1"/>
  <c r="H451" i="1"/>
  <c r="H454" i="1"/>
  <c r="H455" i="1"/>
  <c r="H456" i="1"/>
  <c r="H457" i="1"/>
  <c r="H460" i="1"/>
  <c r="H461" i="1"/>
  <c r="H4" i="1"/>
  <c r="H2" i="1" l="1"/>
  <c r="H463" i="1"/>
</calcChain>
</file>

<file path=xl/sharedStrings.xml><?xml version="1.0" encoding="utf-8"?>
<sst xmlns="http://schemas.openxmlformats.org/spreadsheetml/2006/main" count="2321" uniqueCount="591">
  <si>
    <t>BASE MES SERVICIO PRESTADO</t>
  </si>
  <si>
    <t xml:space="preserve">N° Solicitud  </t>
  </si>
  <si>
    <t>N° Autorización</t>
  </si>
  <si>
    <t xml:space="preserve">Fecha de la Autorización </t>
  </si>
  <si>
    <t>Documento del Asegurado</t>
  </si>
  <si>
    <t>Nombre del Asegurado</t>
  </si>
  <si>
    <t>codigo</t>
  </si>
  <si>
    <t>Descripción Codigo</t>
  </si>
  <si>
    <t>DESCRIPCION ANEXO</t>
  </si>
  <si>
    <t>GIT0010</t>
  </si>
  <si>
    <t>GIT0011</t>
  </si>
  <si>
    <t>GIA003</t>
  </si>
  <si>
    <t>TOTAL ESTIMADO</t>
  </si>
  <si>
    <t>GIRO PARA OTRO TIPO DE SERVICIO</t>
  </si>
  <si>
    <t>GIRO TRASLADO-CON A COMPAÑANTE</t>
  </si>
  <si>
    <t>GIRO TRASLADO-INDIVIDUAL</t>
  </si>
  <si>
    <t>GIA001</t>
  </si>
  <si>
    <t>GIRO ALIMENTACION INDIVIDUAL</t>
  </si>
  <si>
    <t xml:space="preserve">CÓDIGO DE LA PRESTACION PRINCIPAL INTERNO DEL PROVEEDOR  </t>
  </si>
  <si>
    <t>DESCRIPCIÓN DEL PROCEDIMIENTO</t>
  </si>
  <si>
    <t>GIA002</t>
  </si>
  <si>
    <t>GIRO ALIMENTACION-CON ACOMPAÑANTE</t>
  </si>
  <si>
    <t>Valor a facturar Giro Usuario</t>
  </si>
  <si>
    <t>Fee 35%</t>
  </si>
  <si>
    <t>JUAN  CAMILO  MONTES  PUCHE</t>
  </si>
  <si>
    <t>SERGIO  SEGUNDO  CASTILLO  LOPEZ</t>
  </si>
  <si>
    <t>GIRO TRASLADO-CON ACOMPAÑANTE</t>
  </si>
  <si>
    <t>LUIS  MANUEL  URIBE  ROSADO </t>
  </si>
  <si>
    <t>DIEGO  FERNANDO  GONZALEZ  ACOSTA</t>
  </si>
  <si>
    <t>RAFAEL  ANTONIO  RAMOS  FLOREZ </t>
  </si>
  <si>
    <t>MAYCOL  STIVEN  FLOREZ  BOCANEGRA</t>
  </si>
  <si>
    <t>JULIO  CESAR  MARTINEZ  LOZANO </t>
  </si>
  <si>
    <t>OBER  LUIS  BOSSIO  ZUÑIGA </t>
  </si>
  <si>
    <t>LUIS  ALBERTO  GUERRA  JAIMES </t>
  </si>
  <si>
    <t>NARDA  JEZABEL  RODRIGUEZ  ROZO </t>
  </si>
  <si>
    <t>JOSE  MIGUEL  PARADA  PEREZ</t>
  </si>
  <si>
    <t>LUZ  RAQUEL  CARRILLO  GELVEZ </t>
  </si>
  <si>
    <t>MARIA LADY  DIAZ  AGUDELO</t>
  </si>
  <si>
    <t>GLENDA  MARIA  PASTRANA  BENEDETTY </t>
  </si>
  <si>
    <t>JHON FREDYS  PASOS  VILLA</t>
  </si>
  <si>
    <t>OLAYS  MARIA  ACOSTA  DE SANTANA</t>
  </si>
  <si>
    <t>MARCOS  TULIO  DELGAN  MONTENEGRO</t>
  </si>
  <si>
    <t>GIROS ANTICIPADOS ESTIMADO POR FACTURAR SERVICIOS PRESTADOS NOVIEMBRE 2025</t>
  </si>
  <si>
    <t>Corte: 30/11/2025</t>
  </si>
  <si>
    <t>11. NOVIEMBRE 2025</t>
  </si>
  <si>
    <t>LUIS  ALVEIRO  CARDENAS  FLOREZ</t>
  </si>
  <si>
    <t>JESUS  ANTONIO  RAMIREZ  PEÑARANDA</t>
  </si>
  <si>
    <t>RAUL  GARCIA  VILLAMIL</t>
  </si>
  <si>
    <t>JHON  ANDREY  CASTELLANOS  MONDRAGON</t>
  </si>
  <si>
    <t>SERGIO  ALEJANDRO  VANEGAS  ROA</t>
  </si>
  <si>
    <t>VIRGINIA  EUSEBIA  MENDOZA  BELTRAN </t>
  </si>
  <si>
    <t>CRISTIAN  DAVID  SIERRA  JARABA</t>
  </si>
  <si>
    <t>SANDRA  YANET  RODRIGUEZ  RESTREPO</t>
  </si>
  <si>
    <t>CRISTIAN DAVID SANDOVAL MIRANDA</t>
  </si>
  <si>
    <t>LUIS  FERNANDO  MENDIVELSO  LEAL</t>
  </si>
  <si>
    <t>ALEJANDRO  RODRIGUEZ  PIMENTEL </t>
  </si>
  <si>
    <t>MIGUEL  ANTONIO  SACANAMBOY  ORTIZ</t>
  </si>
  <si>
    <t>JORGE  LUIS  CAMACHO  ZAMBRANO</t>
  </si>
  <si>
    <t>LUISA  FERNANDA  COLLAZOS  BARRIOS </t>
  </si>
  <si>
    <t>SEVERIANO  RUIZ  LOSADA </t>
  </si>
  <si>
    <t>JELVER  ADAN  ORTEGA  CUCHUMBE </t>
  </si>
  <si>
    <t>MARIA  TERESA  GUTIERREZ  GOMEZ</t>
  </si>
  <si>
    <t>HARLIN  DURLEY  MONTOYA  GUTIERREZ</t>
  </si>
  <si>
    <t>JUAN  PABLO  GUZMAN  PALACIOS</t>
  </si>
  <si>
    <t>JORGE  ADELMO  MENDOZA  GALINDO</t>
  </si>
  <si>
    <t>YOHANA  INES  ARIZA  DONADO </t>
  </si>
  <si>
    <t>OSCAR  EDUARDO  MEDINA  VASQUEZ</t>
  </si>
  <si>
    <t>JEISON  ENRIQUE  ARRIETA  BERROCAL</t>
  </si>
  <si>
    <t>FERNANDO  SANCHEZ  PULIDO</t>
  </si>
  <si>
    <t>LUIS  JESUS  DUARTE  OVIEDO </t>
  </si>
  <si>
    <t>TANIA  CUMANDA  CALDERON  CEBALLOS</t>
  </si>
  <si>
    <t>RODOLFO  BAYONA  CASTILLA </t>
  </si>
  <si>
    <t>CARLOS  ALBERTO  ROSERO  TORRES</t>
  </si>
  <si>
    <t>JAIRO  ENRIQUE  FUENTES  MOJICA </t>
  </si>
  <si>
    <t>NANCY  OFIR  URBANO  MARTINEZ </t>
  </si>
  <si>
    <t>DYEEZEN  FERNANDO  CARRILLO  SANCHEZ</t>
  </si>
  <si>
    <t>MANUEL  FERNANDO  FEGED  MURCIA </t>
  </si>
  <si>
    <t>HUMBERTO  SERRANO  RODRIGUEZ </t>
  </si>
  <si>
    <t>GONZALO  GIRALDO  ROJAS</t>
  </si>
  <si>
    <t>RUBEN  EDUARD  CAMPO  BLANCO</t>
  </si>
  <si>
    <t>JOHN  FREDY  CASTRO  MORENO</t>
  </si>
  <si>
    <t>MARIA  ONEYDA  GELVEZ  LEON </t>
  </si>
  <si>
    <t>JUAN  PABLO  QUINTERO  PALOMINO</t>
  </si>
  <si>
    <t>ALEXANDER  ALVAREZ  BARRETO</t>
  </si>
  <si>
    <t>DELIA  VALENCIA  ALEMESA </t>
  </si>
  <si>
    <t>WILLINGTON  JAIRO  BRAVO  PAME </t>
  </si>
  <si>
    <t>WILSON  GUTIERREZ  LEYTON</t>
  </si>
  <si>
    <t>JOSE  DAVID  LEGARDES  SOLANO</t>
  </si>
  <si>
    <t>MARTIN ABEL  ALMANZA FLOREZ </t>
  </si>
  <si>
    <t>FRANCISCO  JAVIER  CACERES  FLORES</t>
  </si>
  <si>
    <t>MARIA  EUGENIA  AVILA  DIAZ </t>
  </si>
  <si>
    <t>ELISA GUZMAN  VASQUEZ</t>
  </si>
  <si>
    <t>ANGEL  EDUARDO  CALA  ARIZA </t>
  </si>
  <si>
    <t>YAMIT  ALEJANDRO  MUÑOZ URBANO </t>
  </si>
  <si>
    <t>EDINSON  JOSE  MERCADO  CABALLERO </t>
  </si>
  <si>
    <t>FREDYS ENRIQUE  RIVERA HERRERA</t>
  </si>
  <si>
    <t>JOEL DAVID  RAMOS  MARZOLA</t>
  </si>
  <si>
    <t>ORLANDO  SALAMANCA  MARTINEZ </t>
  </si>
  <si>
    <t>JORGE  ENRIQUE PEREZ  MEDELLIN</t>
  </si>
  <si>
    <t>MANUEL  SALVADOR  GARCIA  ESCOBAR </t>
  </si>
  <si>
    <t>JOHNNY  GILBERT  MOLINA  BALANTA</t>
  </si>
  <si>
    <t>JHONNY  MARIN  CUERO  VALENCIA </t>
  </si>
  <si>
    <t>JUAN  CARLOS  GALEANO  GALINDO</t>
  </si>
  <si>
    <t>JONH  FREDY  MARTINEZ  BOCANEGRA </t>
  </si>
  <si>
    <t>ALEXANDER  ACOSTA  DUQUE</t>
  </si>
  <si>
    <t>LEIDY  GIOVANNA  GALLEGO </t>
  </si>
  <si>
    <t>GLORIA  ESPERANZA  SANDOVAL  SANDOVAL </t>
  </si>
  <si>
    <t>OLIMER  MANUEL  RUIZ  HERNANDEZ</t>
  </si>
  <si>
    <t>EYDA  ROCIO  ROJAS  RODRIGUEZ </t>
  </si>
  <si>
    <t>LINCON  MEDINA  GUZMAN</t>
  </si>
  <si>
    <t>ISABEL  CRISTINA  SANCHEZ  GONZALEZ</t>
  </si>
  <si>
    <t>DELFA RUIZ  SANCHEZ</t>
  </si>
  <si>
    <t>ALEJANDRO  JOSE  DE LA HOZ MAESTRE </t>
  </si>
  <si>
    <t>VALDEMAR  ORDOÑEZ  IBARRA</t>
  </si>
  <si>
    <t>JUAN  ANYELO  ALZATE  ZAPATA</t>
  </si>
  <si>
    <t>MARIA  FERNANDA  PEREZ  CARDENAS</t>
  </si>
  <si>
    <t>ELIZABETH  MORALES  AVILA </t>
  </si>
  <si>
    <t>RUDESINDO  DE JESUS RESTREPO</t>
  </si>
  <si>
    <t>LUZ  INELDA  CABEZAS  CAICEDO</t>
  </si>
  <si>
    <t>YANETH  OFELIA  GONZALEZ TRASLAVINA </t>
  </si>
  <si>
    <t>JOSE  IGNACIO  JIMENEZ  HERNANDEZ</t>
  </si>
  <si>
    <t>MARIA  ABADIA  RODRIGUEZ </t>
  </si>
  <si>
    <t>NELLY  CARMENZA  CORREA  DIAZ </t>
  </si>
  <si>
    <t>OSCAR  EDUARDO  RUGE  RODRIGUEZ</t>
  </si>
  <si>
    <t>ELIECER  ULISES  RAMOS  GONZALEZ </t>
  </si>
  <si>
    <t>GLORIA  JANETH  RODRIGUEZ CORNELIO</t>
  </si>
  <si>
    <t>GILDARDO  ANTONIO  IMBACHI  MUÑOZ </t>
  </si>
  <si>
    <t>ADALGIZA  MURILLO  BEDOYA </t>
  </si>
  <si>
    <t>FRANCISCO  JAVIER  OSPINO  AMAYA</t>
  </si>
  <si>
    <t>YIMIS  ELIAS  RUIZ</t>
  </si>
  <si>
    <t>NARDA  NATALIA  VARGAS  REY </t>
  </si>
  <si>
    <t>LUZ  ELENA  MARTINEZ  ROJAS</t>
  </si>
  <si>
    <t>Giro anticipado inter ida z/ bananera/cienaga 47254903 terapia física cita:01/11/225/07: ida:01/11/25-06: cel:3015350309 ap:si acom:no valor trayecto:25.000</t>
  </si>
  <si>
    <t>Giro anticipado inter retorno cienaga -z/ bananera 47254903 terapia física cita:01/11/2025-07:00-retorno:01/11/25/10:00 cel:3015350309 apo:si acom:no valor trayecto:25.000</t>
  </si>
  <si>
    <t>Giro anticipado inter ida z/ bananera/cienaga 47254903 terapia física cita:04/11/225/07: ida:04/11/25-06: cel:3015350309 ap:si acom:no valor trayecto:25.000</t>
  </si>
  <si>
    <t>Giro anticipado inter retorno cienaga -z/ bananera 47254903 terapia física cita:04/11/2025-07:00-retorno:04/11/25/10:00 cel:3015350309 apo:si acom:no valor trayecto:25.000</t>
  </si>
  <si>
    <t>Giro anticipado interm ida z.bananera/ciénaga 47328437 radiografia de rodilla hora cita:1-11-2025/08:00 -ida:1-11-2025/08:00 cel:3113987342 apoyo:bastón acompañante:no valor por trayecto 25.000</t>
  </si>
  <si>
    <t>Giro anticipado interm retorno ciénaga/z.bananera 47328437 radiografia de rodilla hora cita:1-11-2025/08:00 - retorno:1-11-2025/08:00 cel:3113987342 apoyo:bastón acompañ:no valor por trayecto 25.000</t>
  </si>
  <si>
    <t>Giro anticipado intermunicipal ida zona bananera- cienaga aut 47251947 terapia fisica integral fecha hora ida 4 noviembre 2025 cel 3113987342 apoyo si baston acompañante no 25000 por trayecto</t>
  </si>
  <si>
    <t>Giro anticipado intermunicipal retorno cienaga - zona bananera aut 47251947terapia fisica integral fecha hora ida 4 noviembre 2025 cel 3113987342 apoyo si baston acompañante no 25000 por trayecto</t>
  </si>
  <si>
    <t>Giro anticipado intermunicipal ida zona bananera- cienaga aut 47251947 terapia fisica integral fecha hora ida 5 noviembre 2025 cel 3113987342 apoyo si, baston acompañante no** *25,000 por trayecto</t>
  </si>
  <si>
    <t>Giro anticipado intermunicipal retorno cienaga - zona bananera aut 47251947terapia fisica integral fecha hora ida 5 noviembre 2025 cel 3113987342 apoyo si baston acompañante no 25000 por trayecto</t>
  </si>
  <si>
    <t>Giro anticipado intermunicipal ida zona bananera- cienaga aut 47251947 terapia fisica integral fecha hora ida 6 noviembre 2025 cel 3113987342 apoyo si baston acompañante no 25000 por trayecto</t>
  </si>
  <si>
    <t>Giro anticipado intermunicipal retorno cienaga - zona bananera aut 47251947terapia fisica integral fecha hora ida 6 noviembre 2025 cel 3113987342 apoyo si baston acompañante no 25000 por trayecto</t>
  </si>
  <si>
    <t>Giro anticipado inter ida z.bananera/ciénaga 47250906 terapia física hora cita:1-11-2025/07:00 -fecha ida:1-11-2025/05:00 cel:3042649250 apoyo: bastón acompañante:si valor por trayecto 50.000</t>
  </si>
  <si>
    <t>Giro anticipado inter retorno ciénaga/z.bananera 47250906 terapia física hora cita:1-11-2025/07:00 -fecha retorno:1-11-2025/09:00 cel:3042649250 apoyo:bastón acompañ:si valor por trayecto 50.000</t>
  </si>
  <si>
    <t>Giro anticipado intermunicipal ambulancia basica ida san vicente medellin 46590573 consulta de psiquiatria 4 noviembre a las 9 am cel 314 7182816 apoyo no acompañante si valor 700 000</t>
  </si>
  <si>
    <t>Giro anticipado intermunicipal ambulancia basica retorno medellin san vicente 46590573 consulta de psiquiatria 4 noviembre a las 10 am cel 314 7182816 apoyo no acompañante si valor 700 000</t>
  </si>
  <si>
    <t>Giro anticipado intermunicipal ida los patios cucuta 47360418 radiografia tobillo 47360419 radiografia pierna 4 noviembre 14 pm cel 3134451598 silla ruedas rígida acomp si valor 65 .000</t>
  </si>
  <si>
    <t>Giro anticipado intermunicipal retorno cucuta los patios 47360418 radiografia tobillo 47360419 radiografia pierna 4 noviembre 15 pm cel 3134451598 silla de ruedas rígida acomp si valor 65.000</t>
  </si>
  <si>
    <t>Giro anticipado intermunicipal ida los patios / cucuta aut 47359216 terapia hidráulicas  fecha 5 noviembre 7 am cel 3134451598 apoyo silla ruedas rígida acompañante si valor 65 .000</t>
  </si>
  <si>
    <t>Giro anticipado intermunicipal retorno cucuta / los patios aut 47359216 terapia hidráulicas fecha 5 noviembre 8 am cel 3134451598 apoyo silla de ruedas rígida acompañante si valor 65.000</t>
  </si>
  <si>
    <t>Giro anticipado intermunicipal ida los patios / cucuta aut 47359216 terapia hidráulicas  fecha 6 noviembre 7 am cel 3134451598 apoyo silla ruedas rígida acompañante si valor 65 .000</t>
  </si>
  <si>
    <t>Giro anticipado intermunicipal retorno cucuta / los patios aut 47359216 terapia hidráulicas fecha 6 noviembre 8 am cel 3134451598 apoyo silla de ruedas rígida acompañante si valor 65.000</t>
  </si>
  <si>
    <t>Giro anticipado intermunicipal ida los patios / cucuta aut 47360420 ortopedia traumatologia fecha 7 noviembre 8 / 45 am cel 3134451598 apoyo silla ruedas rígida acompañante si valor 65 .000</t>
  </si>
  <si>
    <t>Giro anticipado intermunicipal retorno cucuta / los patios aut 47360420 ortopedia traumatologia fecha 7 noviembre 10 am cel 3134451598 apoyo silla de ruedas rígida acompañante si valor 65.000</t>
  </si>
  <si>
    <t>Giro anticipado intermunicipal ida los patios / cucuta aut 47359216 terapia hidráulicas  fecha 10 noviembre 7 am cel 3134451598 apoyo silla ruedas rígida acompañante si valor 65 .000</t>
  </si>
  <si>
    <t>Giro anticipado intermunicipal retorno cucuta / los patios aut 47359216 terapia hidráulicas fecha 10 noviembre 8 am cel 3134451598 apoyo silla de ruedas rígida acompañante si valor 65.000</t>
  </si>
  <si>
    <t>Giro anticipado intermunicipal ida los patios / cucuta aut 47359216 terapia hidráulicas  fecha 11 noviembre 7 am cel 3134451598 apoyo silla ruedas rígida acompañante si valor 65 .000</t>
  </si>
  <si>
    <t>Giro anticipado intermunicipal retorno cucuta / los patios aut 47359216 terapia hidráulicas fecha 11 noviembre 8 am cel 3134451598 apoyo silla de ruedas rígida acompañante si valor 65.000</t>
  </si>
  <si>
    <t>Giro anticipado intermunicipal ida los patios / cucuta aut 47359216 terapia hidráulicas  fecha 12 noviembre 7 am cel 3134451598 apoyo silla ruedas rígida acompañante si valor 65 .000</t>
  </si>
  <si>
    <t>Giro anticipado intermunicipal retorno cucuta / los patios aut 47359216 terapia hidráulicas fecha 12 noviembre 8 am cel 3134451598 apoyo silla de ruedas rígida acompañante si valor 65.000</t>
  </si>
  <si>
    <t>Giro anticipado intermunicipal ida los patios / cucuta aut 47359216 terapia hidráulicas  fecha 13 noviembre 7 am cel 3134451598 apoyo silla ruedas rígida acompañante si valor 65 .000</t>
  </si>
  <si>
    <t>Giro anticipado intermunicipal retorno cucuta / los patios aut 47359216 terapia hidráulicas fecha 13 noviembre 8 am cel 3134451598 apoyo silla de ruedas rígida acompañante si valor 65.000</t>
  </si>
  <si>
    <t>Giro anticipado inter ida aut 47250906 terapias física fecha cita 04/11/25 hora 07;20am origen zona bananera destino ciénaga cel 3042649250 apoyo bastón acompañante si 50.000 por trayecto</t>
  </si>
  <si>
    <t>Giro anticipado inter retorno aut 47250906 terapias fisica fecha cita 04/11/25 hora 11:00am origen ciénaga destino zona bananera cel 3042649250 apoyo bastón acompañante si 50.000 por trayecto</t>
  </si>
  <si>
    <t>Giro anticipado inter ida aut 47250906 terapias física fecha cita 05/11/25 hora 07;20am origen zona bananera destino ciénaga cel 3042649250 apoyo bastón acompañante si 50.000 por trayecto</t>
  </si>
  <si>
    <t>Giro anticipado inter retorno aut 47250906 terapias fisica fecha cita 05/11/25 hora 11:00am origen ciénaga destino zona bananera cel 3042649250 apoyo bastón acompañante si 50.000 por trayecto</t>
  </si>
  <si>
    <t>Giro anticipado inter ida aut 47250906 terapias física fecha cita 06/11/25 hora 07;20am origen zona bananera destino ciénaga cel 3042649250 apoyo bastón acompañante si 50.000 por trayecto</t>
  </si>
  <si>
    <t>Giro anticipado inter retorno aut 47250906 terapias fisica fecha cita 06/11/25 hora 11:00am origen ciénaga destino zona bananera cel 3042649250 apoyo bastón acompañante si 50.000 por trayecto</t>
  </si>
  <si>
    <t>Giro anticipado inter ida aut 47250906 terapias física fecha cita 08/11/25 hora 07;20am origen zona bananera destino ciénaga cel 3042649250 apoyo bastón acompañante si 50.000 por trayecto</t>
  </si>
  <si>
    <t>Giro anticipado inter retorno aut 47250906 terapias fisica fecha cita 08/11/25 hora 11:00am origen ciénaga destino zona bananera cel 3042649250 apoyo bastón acompañante si 50.000 por trayecto</t>
  </si>
  <si>
    <t>Giro anticipado inter ida aut 47250906 terapias física fecha cita 10/11/25 hora 07;20am origen zona bananera destino ciénaga cel 3042649250 apoyo bastón acompañante si 50.000 por trayecto</t>
  </si>
  <si>
    <t>Giro anticipado inter retorno aut 47250906 terapias fisica fecha cita 10/11/25 hora 11:00am origen ciénaga destino zona bananera cel 3042649250 apoyo bastón acompañante si 50.000 por trayecto</t>
  </si>
  <si>
    <t>Giro anticipado inter ida aut 47250906 terapias física fecha cita 11/11/25 hora 07;20am origen zona bananera destino ciénaga cel 3042649250 apoyo bastón acompañante si 50.000 por trayecto</t>
  </si>
  <si>
    <t>Giro anticipado inter retorno aut 47250906 terapias fisica fecha cita 11/11/25 hora 11:00am origen ciénaga destino zona bananera cel 3042649250 apoyo bastón acompañante si 50.000 por trayecto</t>
  </si>
  <si>
    <t>Giro anticipado inter ida aut 47250906 terapias física fecha cita 12/11/25 hora 07;20am origen zona bananera destino ciénaga cel 3042649250 apoyo bastón acompañante si 50.000 por trayecto</t>
  </si>
  <si>
    <t>Giro anticipado inter retorno aut 47250906 terapias fisica fecha cita 12/11/25 hora 11:00am origen ciénaga destino zona bananera cel 3042649250 apoyo bastón acompañante si 50.000 por trayecto</t>
  </si>
  <si>
    <t>Giro anticipado inter ida aut 47250906 terapias física fecha cita 13/11/25 hora 07;20am origen zona bananera destino ciénaga cel 3042649250 apoyo bastón acompañante si 50.000 por trayecto</t>
  </si>
  <si>
    <t>Giro anticipado inter retorno aut 47250906 terapias fisica fecha cita 13/11/25 hora 11:00am origen ciénaga destino zona bananera cel 3042649250 apoyo bastón acompañante si 50.000 por trayecto</t>
  </si>
  <si>
    <t>Giro anticipado inter ida aut 47250906 terapias física fecha cita 14/11/25 hora 07;20am origen zona bananera destino ciénaga cel 3042649250 apoyo bastón acompañante si 50.000 por trayecto</t>
  </si>
  <si>
    <t>Giro anticipado inter retorno aut 47250906 terapias fisica fecha cita 14/11/25 hora 11:00am origen ciénaga destino zona bananera cel 3042649250 apoyo bastón acompañante si 50.000 por trayecto</t>
  </si>
  <si>
    <t>Giro anticipado intermunicipal ida zona bananera-santa marta nº aut 47340060 hidroterapias fecha 4 de noviembre de 2025 hora cita 10:30 cel 3043733438 apoyo si acompañante no 25.000 por trayecto</t>
  </si>
  <si>
    <t>Giro anticipado intermunicipal retorno santa marta-zona bananera nº aut 47340060 hidroterapias fecha 4 de noviembre de 2025 hora cita 1030 cel 3043733438 apoyo si acompañante no 25000 por trayecto</t>
  </si>
  <si>
    <t>Giro anticipado intermunicipal ida zona bananera-santa marta nº aut 47340060 hidroterapias fecha 6 de noviembre de 2025 hora cita 10:30 cel 3043733438 apoyo si acompañante no 25.000 por trayecto</t>
  </si>
  <si>
    <t>Giro anticipado intermunicipal retorno santa marta-zona bananera nº aut 47340060 hidroterapias fecha 6 de noviembre de 2025 hora cita 10:30 cel 3043733438 apoyo si acompañante no 25.000 por trayecto</t>
  </si>
  <si>
    <t>Giro anticipado intermunicipal ida zona bananera-santa marta nº aut 47340060 hidroterapias fecha 11 de noviembre de 2025 hora cita 10:30 cel 3043733438 apoyo si acompañante no 25.000 por trayecto</t>
  </si>
  <si>
    <t>Giro anticipado intermunicipal retorno santa marta-zona bananera nº aut 47340060 hidroterapias fecha 11 de noviembre de 2025 hora cita 10:30 cel 3043733438 apoyo si acompañante no 25.000 por trayecto</t>
  </si>
  <si>
    <t>Giro anticipado intermunicipal ida zona bananera-santa marta nº aut 47340060 hidroterapias fecha 13 de noviembre de 2025 hora cita 10:30 cel 3043733438 apoyo si acompañante no 25.000 por trayecto</t>
  </si>
  <si>
    <t>Giro anticipado intermunicipal retorno santa marta-zona bananera nº aut 47340060 hidroterapias fecha 13 de noviembre de 2025 hora cita 10:30 cel 3043733438 apoyo si acompañante no 25.000 por trayecto</t>
  </si>
  <si>
    <t>Giro anticipado intermunicipal ida zona bananera-santa marta nº aut 47340060 hidroterapias fecha 18 de noviembre de 2025 hora cita 10:30 cel 3043733438 apoyo si acompañante no 25.000 por trayecto</t>
  </si>
  <si>
    <t>Giro anticipado intermunicipal retorno santa marta-zona bananera nº aut 47340060 hidroterapias fecha 18 de noviembre de 2025 hora cita 10:30 cel 3043733438 apoyo si acompañante no 25.000 por trayecto</t>
  </si>
  <si>
    <t>Giro anticipado intermunicipal ida zona bananera-santa marta nº aut 47340060 hidroterapias fecha 20 de noviembre de 2025 hora cita 10:30 cel 3043733438 apoyo si acompañante no 25.000 por trayecto</t>
  </si>
  <si>
    <t>Giro anticipado intermunicipal retorno santa marta-zona bananera nº aut 47340060 hidroterapias fecha 20 de noviembre de 2025 hora cita 10:30 cel 3043733438 apoyo si acompañante no 25.000 por trayecto</t>
  </si>
  <si>
    <t>Giro anticipado intermunicipal ida zona bananera-santa marta nº aut 47340060 hidroterapias fecha 25 de noviembre de 2025 hora cita 10:30 cel 3043733438 apoyo si acompañante no 25.000 por trayecto</t>
  </si>
  <si>
    <t>Giro anticipado intermunicipal retorno santa marta-zona bananera nº aut 47340060 hidroterapias fecha 25 de noviembre de 2025 hora cita 10:30 cel 3043733438 apoyo si acompañante no 25.000 por trayecto</t>
  </si>
  <si>
    <t>Giro anticipado intermunicipal ida zona bananera-santa marta nº aut 47340060 hidroterapias fecha 27 de noviembre de 2025 hora cita 10:30 cel 3043733438 apoyo si acompañante no 25.000 por trayecto</t>
  </si>
  <si>
    <t>Giro anticipado intermunicipal retorno santa marta-zona bananera nº aut 47340060 hidroterapias fecha 27 de noviembre de 2025 hora cita 10:30 cel 3043733438 apoyo si acompañante no 25.000 por trayecto</t>
  </si>
  <si>
    <t>Giro anticipado//inter ida santa rosa del sur-bucaramanga aut 47280489 r.m fecha hora cita 11/nov/25 20:30pm fecha hora ida 11/nov/25 10am cel 3219153230 apo no acom no valor por trayecto $85.000</t>
  </si>
  <si>
    <t>Giro anticipado/inter retorno bucaramanga-santa rosa del sur aut 47280489 r.m fecha cita 11/nov/25 20:30pm fecha retorno 12/nov/25 10am cel 3219153230 apo no acom no valor por trayecto $85.000</t>
  </si>
  <si>
    <t>Giro anticipado interm ida z.bananera/ciénaga 47019640 terapia física fecha hora cita:1-11-2025/07:00 -ida: 1-11-2025/04:00 cel:3136609883 apoyo:bastón acompañante:no valor por trayecto 25.00</t>
  </si>
  <si>
    <t>Giro anticipado interm retorno ciénaga/z.bananera 47019640 terapia física fecha hora cita:1-11-2025/07:00 -retorno:1-11-2025/10:00 cel:3136609883 apoyo:bastón acompañ:no valor por trayecto 25.000</t>
  </si>
  <si>
    <t>Giro anticipado intermunicipal ida z.bananera/ciénaga aut 47019640 terapia fecha hora cita :04/11/2025 07:00 fecha ida: 04/11/2025 04:00 cel:3136609883 ap :bastón acom :no valor por trayecto 25.000</t>
  </si>
  <si>
    <t>Giro anticipado inter retorno ciénaga/z.bananera aut 47019640 terapia fecha hora cita :04/11/2025 07:00 fecha ida: 04/11/2025 12:00 cel:3136609883 ap :bastón aco :no valor por trayecto 25.000</t>
  </si>
  <si>
    <t>Giro anticipado - inter ida santa rosa del sur bucaramanga nº aut 47300019 ecografía fecha hora cita11112025 1550-fecha hora ida10112025 1200cel 3152558827 apy no acop no valor del trayecto 85.000</t>
  </si>
  <si>
    <t>Giro anticipado - inter retorno bucaramanga - santa rosa del sur nº aut 47300019 ecografíahora cita 11112025 1550fecha hora retorno 11112025 1700 cel 3152558827 apy no acp novalor del trayecto 85.000</t>
  </si>
  <si>
    <t>Giro anticipado intermunicipal ida zona bananera- cienaga aut 47254903 terapia fisica fecha hora ida 5 noviembre 2025 apoyo si, baston acom no** *25,000 por trayecto</t>
  </si>
  <si>
    <t>Giro anticipado intermunicipal retorno cienaga - zona bananera aut 47254903 terapia fisica fecha hora ida 5 noviembre 2025 apoyo si, baston acom no** *25,000 por trayecto</t>
  </si>
  <si>
    <t>Giro //ida zona bananera santa marta / 47429997optometria fecha cita 04/11/2025 a las 1250 fecha retorno 04/11/2025 a las 15 cel 3001032450 apoyo no acompañante si * $50,000</t>
  </si>
  <si>
    <t>Giro //retorno santa marta zona bananera/ 47429997 optometria fecha cita 04/11/2025 a las 1250 fecha retorno 04/11/2025 a las 10 cel 3001032450 apoyo no acompañante si $50,000</t>
  </si>
  <si>
    <t>Se autoriza rescate aut 47235275, giro $29.878 para medicamento ketoprofeno gel-2.5 g-tubo 60 gr, para manejo de dolor por ep, derivado de medicina del dolor del 09-10-2025 entrega 1 de 3</t>
  </si>
  <si>
    <t>Giro - inter ida z. bananera–santa marta nº aut 47430141 resonancia fecha hora cita 05/11/2025 13:30 fecha hora ida 05/11/2025 06:00 cel 311 4149692 apoyo no acompañante no -$ 25,000</t>
  </si>
  <si>
    <t>Giro - inter retorno santa marta -z. bananera nº aut 47430141 resonancia fecha hora cita 05/11/2025 13:30 - fecha hora retorno 05/11/ 2025 15:00 cel 3126015605 apoyo no acompañante no -$ 25,000</t>
  </si>
  <si>
    <t>Giro anticipado ida zona bananera/cienaga aut 47417786 fecha hora cita 04/11/25 14pm fecha hora ida 04/11/25 12pm cel3023227961 ap no ac no valor de trayecto 25.000 ************************</t>
  </si>
  <si>
    <t>Giro anticipado retorno ciénaga /zona bananera/nº aut 47417786 fecha hora cita 04//11/25 14pm -fecha hora retorno 04/11/25 16pm cel3023227961 ap no ac no valor de trayecto 25.000</t>
  </si>
  <si>
    <t>Giro anticipado - inter ida zona bananera/cienaga nº aut 47417786 fecha hora cita 05//11/25 14pm - fecha hora ida 04/11/25 12pm cel3023227961 ap no ac no valor de trayecto 25.000</t>
  </si>
  <si>
    <t>Giro anticipado retorno ciénaga /zona bananera/ aut 47417786 fecha hora cita 05//11/25 14pm retorno 05/11/25 16pm cel3023227961 ap no ac no valor de trayecto 25.000 ************************</t>
  </si>
  <si>
    <t>Giro anticipado inter ida zona bananera/ciénaga nº aut 47417786 fecha hora cita 06//11/25 14pm - fecha hora ida 06/11/25 12pm cel3023227961 ap no ac no valor de trayecto 25.000</t>
  </si>
  <si>
    <t>Giro anticipado retorno ciénaga /zona bananera/ aut 47436665 fecha hora cita 06//11/25 14pm retorno 06/11/25 16pm cel3023227961 ap no ac no valor de trayecto 25.000</t>
  </si>
  <si>
    <t>Giro anticipado - inter ida zona bananera/cienaga nº aut 47417786 fecha hora cita 07//11/25 14pm - fecha hora ida 07/11/25 12pm cel3023227961 ap no ac no valor de trayecto 25.000</t>
  </si>
  <si>
    <t>Giro anticipado retorno ciénaga /zona bananera/ aut 47436665 fecha hora cita 07//11/25 14pm retorno 07/11/25 16pm cel3023227961 ap no ac no valor de trayecto 25.000</t>
  </si>
  <si>
    <t>Giro anticipado - inter ida zona bananera/cienaga nº aut 47417786 fecha hora cita 08//11/25 14pm - fecha hora ida 08/11/25 12pm cel3023227961 ap no ac no valor de trayecto 25.000</t>
  </si>
  <si>
    <t>Giro anticipado – retorno zona bananera/cienaga nº aut 47417786 fecha hora cita 08//11/25 14pm - fecha hora ida 08/11/25 15pm cel3023227961 ap no ac no valor de trayecto 25.000</t>
  </si>
  <si>
    <t>Giro - inter ida puerto rico – granada nº aut 46551001 t. fisica fecha hora cita 04/11/2025 08:20 fecha hora ida 04/11/ 2025 06:00 cel 3115187012 apoyo no acompañante no -$ 80,000</t>
  </si>
  <si>
    <t>Giro - inter retorno granada - puerto rico nº aut 46551001 t. fisica fecha hora cita 04/11/2025 08:20 - fecha hora retorno 04/11/2025 10:00 cel 3115187012 apoyo no acompañante no -$ 80,000</t>
  </si>
  <si>
    <t>Giro - inter ida puerto rico – granada nº aut 46551001 t. fisica fecha hora cita 05/11/2025 08:20 fecha hora ida 05/11/ 2025 06:00 cel 3115187012 apoyo no acompañante no -$ 80,000</t>
  </si>
  <si>
    <t>Giro - inter retorno granada - puerto rico nº aut 46551001 t. fisica fecha hora cita 05/11/2025 08:20 - fecha hora retorno 05/11/2025 10:00 cel 3115187012 apoyo no acompañante no -$ 80,000</t>
  </si>
  <si>
    <t>Giro anticipado inter ida zona bananera /ciénaga /47327085 47327086 terapias física y cita:05/11/25 14pm -ida:05/11/25 12pmcel:3014400978 apo:no acom:no valor trayecto:25.000</t>
  </si>
  <si>
    <t>Giro anticipado inter retorno ciénaga /zona bananera 47327085 47327086terapias física y cita: 05/11/25 14pm -retorno:05/11/25 1530pm cel:3014400978 apo:no acom:no valor trayecto:25.000</t>
  </si>
  <si>
    <t>Giro anticipado inter ida zona bananera /ciénaga /47327085 47327086 terapias física y cita:06/11/25 14pm -ida:06/11/25 12pmcel:3014400978 apo:no acom:no valor trayecto:25.000</t>
  </si>
  <si>
    <t>Giro anticipado retorno ciénaga /zona bananera /47327085 47327086 terapias física y cita:06/11/25 14pm -ida:06/11/25 15pm :3014400978 apo:no acom:no valor trayecto:25.000</t>
  </si>
  <si>
    <t>se autoriza giro anticipado para compra losartan 0.8% ácido hialurónico cant 3, de oftalmología dia 11/09/2025 para manejo secuelas at entrega unica. por el valor de $532.500 aval casa matriz a.v.</t>
  </si>
  <si>
    <t>Autorizo giro anticipado por un valor de $ 735,600 para compra del medicamento transtec® 35 mcg/ h-20 mg #20 ,derivado de medicina del dolor 23/10/25 entrega única, camb aut 47341972</t>
  </si>
  <si>
    <t>Autorizo giro $338.660 (+domi$3.500) dolex forte nf-500 mg+65 mg cant 180, blis10 tab $18.620, 18 blis$335.160 manejo secuelas at de med dolor 03-09-2025 entrega 2 y 3 de 3 en cumplimiento a fallo</t>
  </si>
  <si>
    <t>Se autoriza giro anticipado para compra medicamentos aut 47195690-47195691 para manejo del dolor derivado de médico general de fecha 25/08/2025 entrega 2 de 3 por el valor de $263,700 bajo aval a.v</t>
  </si>
  <si>
    <t>Giro anticipado inter ida zona bananera / ciénaga aut 47019640 terapia fecha hora cita :05/11/2025 07:00 fecha ida: 05/11/2025 05:00am cel:3136609883 ap :bastón aco :no valor por trayecto 25.000</t>
  </si>
  <si>
    <t>Giro anticipado inter retorno ciénaga/zona bananera aut 47019640 terapia fecha hora cita :05/11/2025 07:00 fecha retorno 05/11/2025 14:00 cel:3136609883 ap :bastón aco :no valor por trayecto 25.000</t>
  </si>
  <si>
    <t>Giro anticipado inter ida zona bananera / ciénaga aut 47019640 terapia fecha hora cita :06/11/2025 07:00 fecha ida: 06/11/2025 05:00am cel:3136609883 ap :bastón aco :no valor por trayecto 25.000</t>
  </si>
  <si>
    <t>Giro anticipado inter retorno ciénaga/zona bananera aut 47019640 terapia fecha hora cita :06/11/2025 07:00 fecha retorno 06/11/2025 14:00 cel:3136609883 ap :bastón aco :no valor por trayecto 25.000</t>
  </si>
  <si>
    <t>Giro -  inter ida puerto rico – granada nº aut 46551001 t. fisica fecha hora cita 06/11/2025 08:20 fecha hora ida 06/11/ 2025 06:00 cel 3115187012 apoyo no acompañante no -$ 80,000</t>
  </si>
  <si>
    <t>Giro - inter retorno granada - puerto rico nº aut 46551001 t. fisica fecha hora cita 06/11/2025 08:20 - fecha hora retorno 06/11/2025 10:00 cel 3115187012 apoyo no acompañante no -$ 80,000</t>
  </si>
  <si>
    <t>Giro -  inter ida puerto rico – granada nº aut 46551001 t. fisica fecha hora cita 07/11/2025 08:20 fecha hora ida 07/11/ 2025 06:00 cel 3115187012 apoyo no acompañante no -$ 80,000</t>
  </si>
  <si>
    <t>Giro - inter retorno granada - puerto rico nº aut 46551001 t. fisica fecha hora cita 07/11/2025 08:20 - fecha hora retorno 07/11/2025 10:00 cel 3115187012 apoyo no acompañante no -$ 80,000</t>
  </si>
  <si>
    <t>Autorizo giro anticipado para compra de coquan gotas-2.5 mg valor total $159,800 c/u a $ 79,900 sin domicilio derivado de psiquiatría 22-oct-25 entrega única ep: 10-09-21, en cumplimiento a fallo.</t>
  </si>
  <si>
    <t>Se autoriza rescate aut 47355989 giro $ 62.900 para medicamento lioton® 1000 gel cant 1, para manejo de luxación del codo izquierdo, derivado de medicina general del 24/10/2025</t>
  </si>
  <si>
    <t>Giro anticipado intermunicipal ida zona bananera- cienaga aut 47251947 terapia fisica integral fecha hora ida 7 noviembre 2025 cel 3113987342 apoyo si baston acompañante no 25000 por trayecto</t>
  </si>
  <si>
    <t>Giro anticipado intermunicipal retorno cienaga - zona bananera aut 47251947 terapia fisica fecha hora ida 7 noviembre 2025 cel 3113987342 apoyo si baston acompañante no 25000 por trayecto</t>
  </si>
  <si>
    <t>Giro anticipado intermunicipal ida zona bananera- cienaga aut 47251947 terapia fisica integral fecha hora ida 8 noviembre 2025 cel 3113987342 apoyo si baston acompañante no 25000 por trayecto</t>
  </si>
  <si>
    <t>Giro anticipado intermunicipal retorno cienaga - zona bananera aut 47251947 terapia fisica fecha hora ida 8 noviembre 2025 cel 3113987342 apoyo si baston acompañante no 25000 por trayecto</t>
  </si>
  <si>
    <t>Giro anticipado intermunicipal ida zona bananera- cienaga aut 47251947 terapia fisica fecha hora ida 10 noviembre 2025 cel 3113987342 apoyo si baston acompañante no 25000 por trayecto</t>
  </si>
  <si>
    <t>Giro anticipado intermunicipal retorno cienaga - zona bananera aut 47251947 terapia fisica fecha hora ida 10 noviembre 2025 cel 3113987342 apoyo si baston acompañante no 25000 por trayecto</t>
  </si>
  <si>
    <t>Giro anticipado intermunicipal ida zona bananera- cienaga aut 47251947 terapia fisica fecha hora ida 11 noviembre 2025 cel 3113987342 apoyo si baston acompañante no 25000 por trayecto</t>
  </si>
  <si>
    <t>Giro anticipado intermunicipal retorno cienaga - zona bananera aut 47251947 terapia fisica fecha hora ida 11 noviembre 2025 cel 3113987342 apoyo si baston acompañante no 25000 por trayecto</t>
  </si>
  <si>
    <t>Giro anticipado inter ida zona bananera /ciénaga /47327085 47327086 terapias física y cita:07/11/25 14pm -ida:07/11/25 12pmcel:3014400978 apo:no acom:no valor trayecto:25.000</t>
  </si>
  <si>
    <t>Giro anticipado inter retorno ciénaga/zona bananera /47327085 47327086 terapias física y cita:07/11/25 14pm -ida:07/11/25 12pmcel:3014400978 apo:no acom:no valor trayecto:25.000</t>
  </si>
  <si>
    <t>Giro anticipado ida zona bananera/cienaga nº aut 47417786 fecha hora cita 10//11/25 14pm - fecha hora ida 10/11/25 15pm cel3023227961 ap no ac no valor de trayecto 25.000</t>
  </si>
  <si>
    <t>Giro anticipado retorno cienaga/zona bananera/nº aut 47417786 fecha hora cita 10//11/25 14pm - fecha hora ida 10/11/25 15pm cel3023227961 ap no ac no valor de trayecto 25.000</t>
  </si>
  <si>
    <t>Se autoriza rescate aut 47072226, giro $163,100  para medicamento sinogan® gotas-4 cant 2, para manejo de dolor por ep, derivado de psiquiatría de la fecha 26-08-2025. . entrega 2 de 3</t>
  </si>
  <si>
    <t>Se autoriza giro anticipado compra de medicamento, de medicina del dolor de fecha 12/09/2025, entrega única. cambio de auto 47041650. por $339.000 bajo aval de casa matriz a.v.</t>
  </si>
  <si>
    <t>Se autoriza giro anticipado compra de palexis® retard 100 mg, de medicina del dolor fecha 03/09/2025, entrega 2 de 3. cambio de auto 47359713. por el valor de $205.900 bajo aval de casa matriz a.v.</t>
  </si>
  <si>
    <t>Se autoriza giro anticipado para compra de medicamentos, de medicina del dolor de fecha 27/09/2025 manejo de dolor entrega 1 de 2. cambio de autorizaciones. por $444.900 bajo aval de casa matriz a.v.</t>
  </si>
  <si>
    <t>Se autoriza giro anticipado compra isdin eryfotona -dermatología de fecha 07/10/2025 para manejo de secuelas de at entrega 1 de 6. cambio de auto 47353983. por $156.800 bajo aval de casa matriz a.v.</t>
  </si>
  <si>
    <t>Se autoriza giro anticipado para la compra de palexis retard 50mg manejo de dolor derivado de medicina laboral de fecha 27/10/2025 entrega única. por el valor de $228.400 bajo aval de casa matriz a.v.</t>
  </si>
  <si>
    <t>Se autoriza giro anticipado compra etoricoxib-120 mg cant 14, de ortopedia, dia 18/10/2025 manejo dolor entrega unica. cambio de auto 47313728, por el valor de $ 99.800 bajo aval de casa matriz a.v.</t>
  </si>
  <si>
    <t>Autorizo giroanticipado para compra medicamentos que corresponde betaduo®-10 mg 4 mg-jeringa 2 ml-suspensión inyectable manejo dolor de ortopedia mano de 24092025 entrega única por el valor de 96900</t>
  </si>
  <si>
    <t>Autorizo giro anticipado $120.000 para consulta de medicina alternativa con proveedor medicina alternativa y medicina laboral umidrpuin derivado medicina de laboral del 09-10-2025 cambio aut 47206179</t>
  </si>
  <si>
    <t>Autorizo giro anticipado $1753100 óptica colombiana para compra de lentes de cerca y lejos cotización 3840 para manejo de secuelas de su at derivado optometría del 12-08-2025 en cumplimiento a fallo</t>
  </si>
  <si>
    <t>Giro anticipado amb local ida neiva/neiva aut 47222322 cita control ortopedia fecha hora cita 07nov2025 09:40am fecha hora ida 07nov2025 08:30am cel:3125031351 ap:camilla acomp: si. valor 90.000</t>
  </si>
  <si>
    <t>Giro anticipado amb local retorno neiva/neiva aut 47222322 cita control ortopedia fecha hora cita 07nov2025 09:40am fecha hora retono 07nov2025 11am cel:3125031351 ap: camilla acomp: si. valor 90.000</t>
  </si>
  <si>
    <t>Se autoriza giro anticipado para compra medicamento vancomicina 5% (50mg/ml) colirio x 15ml derivado oftalmología fecha 22/10/2025 para manejo ocular entrega única valor $192.000 bajo aval a.v</t>
  </si>
  <si>
    <t>Giro -  inter ida puerto rico – granada nº aut 46551001 t. fisica fecha hora cita 08/11/2025 08:20 fecha hora ida 08/11/ 2025 06:00 cel 3115187012 apoyo no acompañante no -$ 40,000</t>
  </si>
  <si>
    <t>Giro - inter retorno granada - puerto rico nº aut 46551001 t. fisica fecha hora cita 08/11/2025 08:20 - fecha hora retorno 08/11/2025 10:00 cel 3115187012 apoyo no acompañante no -$ 40,000</t>
  </si>
  <si>
    <t>Giro -  inter ida puerto rico – granada nº aut 46551001 t. fisica fecha hora cita 10/11/2025 08:20 fecha hora ida 10/11/ 2025 06:00 cel 3115187012 apoyo no acompañante no -$ 40,000</t>
  </si>
  <si>
    <t>Giro - inter retorno granada - puerto rico nº aut 46551001 t. fisica fecha hora cita 10/11/2025 08:20 - fecha hora retorno 10/11/2025 10:00 cel 3115187012 apoyo no acompañante no -$ 40,000</t>
  </si>
  <si>
    <t>Giro -  inter ida puerto rico – granada nº aut 46551001 t. fisica fecha hora cita 11/11/2025 08:20 fecha hora ida 11/11/ 2025 06:00 cel 3115187012 apoyo no acompañante no -$ 40,000</t>
  </si>
  <si>
    <t>Giro - inter retorno granada - puerto rico nº aut 46551001 t. fisica fecha hora cita 11/11/2025 08:20 - fecha hora retorno 11/11/2025 10:00 cel 3115187012 apoyo no acompañante no -$ 40,000</t>
  </si>
  <si>
    <t>Giro -  inter ida puerto rico – granada nº aut 46551001 t. fisica fecha hora cita 12/11/2025 08:20 fecha hora ida 12/11/ 2025 06:00 cel 3115187012 apoyo no acompañante no -$ 40,000</t>
  </si>
  <si>
    <t>Giro - inter retorno granada - puerto rico nº aut 46551001 t. fisica fecha hora cita 12/11/2025 08:20 - fecha hora retorno 12/11/2025 10:00 cel 3115187012 apoyo no acompañante no -$ 40,000</t>
  </si>
  <si>
    <t>Giro -  inter ida puerto rico – granada nº aut 46551001 t. fisica fecha hora cita 13/11/2025 08:20 fecha hora ida 13/11/ 2025 06:00 cel 3115187012 apoyo no acompañante no -$ 40,000</t>
  </si>
  <si>
    <t>Giro - inter retorno granada - puerto rico nº aut 46551001 t. fisica fecha hora cita 13/11/2025 08:20 - fecha hora retorno 13/11/2025 10:00 cel 3115187012 apoyo no acompañante no -$ 40,000</t>
  </si>
  <si>
    <t>Giro -  inter ida puerto rico – granada nº aut 46551001 t. fisica fecha hora cita 14/11/2025 08:20 fecha hora ida 14/11/ 2025 06:00 cel 3115187012 apoyo no acompañante no -$ 40,000</t>
  </si>
  <si>
    <t>Giro - inter retorno granada - puerto rico nº aut 46551001 t. fisica fecha hora cita 14/11/2025 08:20 - fecha hora retorno 14/11/2025 10:00 cel 3115187012 apoyo no acompañante no -$ 40,000</t>
  </si>
  <si>
    <t>Giro -  inter ida puerto rico – granada nº aut 46551001 t. fisica fecha hora cita 15/11/2025 08:20 fecha hora ida 15/11/ 2025 06:00 cel 3115187012 apoyo no acompañante no -$ 40,000</t>
  </si>
  <si>
    <t>Giro - inter retorno granada - puerto rico nº aut 46551001 t. fisica fecha hora cita 15/11/2025 08:20 - fecha hora retorno 15/11/2025 10:00 cel 3115187012 apoyo no acompañante no -$ 40,000</t>
  </si>
  <si>
    <t>Giro -  inter ida puerto rico – granada nº aut 46551001 t. fisica fecha hora cita 17/11/2025 08:20 fecha hora ida 17/11/ 2025 06:00 cel 3115187012 apoyo no acompañante no -$ 40,000</t>
  </si>
  <si>
    <t>Giro - inter retorno granada - puerto rico nº aut 46551001 t. fisica fecha hora cita 17/11/2025 08:20 - fecha hora retorno 17/11/2025 10:00 cel 3115187012 apoyo no acompañante no -$ 40,000</t>
  </si>
  <si>
    <t>Giro -  inter ida puerto rico – granada nº aut 46551001 t. fisica fecha hora cita 18/11/2025 08:20 fecha hora ida 18/11/ 2025 06:00 cel 3115187012 apoyo no acompañante no -$ 40,000</t>
  </si>
  <si>
    <t>Giro - inter retorno granada - puerto rico nº aut 46551001 t. fisica fecha hora cita 18/11/2025 08:20 - fecha hora retorno 18/11/2025 10:00 cel 3115187012 apoyo no acompañante no -$ 40,000</t>
  </si>
  <si>
    <t>Giro -  inter ida puerto rico – granada nº aut 46551001 t. fisica fecha hora cita 19/11/2025 08:20 fecha hora ida 19/11/ 2025 06:00 cel 3115187012 apoyo no acompañante no -$ 40,000 -</t>
  </si>
  <si>
    <t>Giro - inter retorno granada - puerto rico nº aut 46551001 t. fisica fecha hora cita 19/11/2025 08:20 - fecha hora retorno 19/11/2025 10:00 cel 3115187012 apoyo no acompañante no -$ 40,000</t>
  </si>
  <si>
    <t>Giro -  inter ida puerto rico – granada nº aut 46551001 t. fisica fecha hora cita 20/11/2025 08:20 fecha hora ida 20/11/ 2025 06:00 cel 3115187012 apoyo no acompañante no -$ 40,000</t>
  </si>
  <si>
    <t>Giro - inter retorno granada - puerto rico nº aut 46551001 t. fisica fecha hora cita 20/11/2025 08:20 - fecha hora retorno 20/11/2025 10:00 cel 3115187012 apoyo no acompañante no -$ 40,000</t>
  </si>
  <si>
    <t>Giro anticipado ida zona bananera/cienaga//nº aut 47417786 fecha hora cita 11//11/25 14pm - fecha hora ida 11/11/25 12pm cel3023227961 ap no ac no valor de trayecto 25.000</t>
  </si>
  <si>
    <t>giro anticipado retorno cienaga/zona bananera///nº aut 47417786 fecha hora cita 11//11/25 14pm - fecha hora de retorno 11/11/25 15pm cel3023227961 ap no ac no valor de trayecto 25.000</t>
  </si>
  <si>
    <t>Autorizo cambio 47357479 giro $110.700 (+$6.900) para gabapentina (mk) 400 mg cantidad 180, caja por 30 tab $17.300 para manejo de at, de med dolor 20-10-25 entrega 1y2-3en cumplimiento a fallo</t>
  </si>
  <si>
    <t>Se autoriza giro anticipado compra betaduo®10 mg 4 mg-jeringa 2 ml cant 2, de fisiatría día 17-10-2025 manejo dolor entrega única. cambio auto 47387310, valor de $169.400 bajo aval de casa matriz a.v.</t>
  </si>
  <si>
    <t>Se autoriza giro anticipado para la compra medicamento sinalgen forte® 7.5/325 tabletas-7,5 mg derivado fisiatría fecha 28/08/2025 para manejo del dolor entrega 2/3 valor $384,000 bajo aval a.v.</t>
  </si>
  <si>
    <t>Autorizo giro anticipado $41.840 (+dom$5.000) betaduo®-5 mg-2 mg-ampoll 1 ml cant1x$36.840 para manejo dolor hombro izquierdo de ortopedia 03-10-2025 entrega unica en cumplimiento a fallo</t>
  </si>
  <si>
    <t>Rescate aut 47439679 7439680 47439681 autorizo giro $786.596 para medicamentos , para manejo de esfera mental, derivado de psiquiatría de la fecha 02/10/2025. entrega 2 de 2</t>
  </si>
  <si>
    <t>Autorizo giro anticipado $357,840 con domicilio para la compra tapentadol retard 50 mg #180 para manejo del dolor entrega única derivado de medicina del dolor del 27-10-2025 en cumplimiento a fallo</t>
  </si>
  <si>
    <t>Se autoriza giro por monto $143,800 en drogas pague menos provenza para milpax-frasco 360 ml derivado de medicina general de la fecha 26/09/2025 entrega unica, cambio de aut 47494256</t>
  </si>
  <si>
    <t>Autorizo giro valor $498,450 (domicilios $15,500) para compra de ketoprofeno-traumel-gabapentin-artrid-ciclobenzaprina de medicina general 07-06-25 entre unica at: 28-07-22, en cumpli a sanción.</t>
  </si>
  <si>
    <t>Autorizo giro $384.800 (+domi$6.900) para la compra de medicamentos derivados de la orden de oftalmología del 11-09-2025 para apoyo de patología diagnostica entrega unica en cumplimiento a fallo</t>
  </si>
  <si>
    <t>Autorizo giro $282.080 +dom$5.000 palexis liberación prolongada 50 mg cant 120 tab 1cajax10 tab $23.090, 12 cajasx$277.080 manejo dolor de med dolor 27-10-2025 entrega 1y2de2</t>
  </si>
  <si>
    <t>Giro anticipado inter ida aut 47443059 tf integral fecha hora cita 10/11/2025 09 30 origen zona bananera destino cienaga fecha hora ida 10/11/2025 06 00 apoyo no acompañante no. $25.000 por trayecto.</t>
  </si>
  <si>
    <t>Giro anticipado inter retorno aut 47443059 tf integral fecha hora cita 10/11/2025 09 30 origen ciénaga destino zona bananera fecha hora retorno 10/11/2025 12 00 ap no acp no.$25.000 por trayecto.</t>
  </si>
  <si>
    <t>Giro anticipado inter ida aut 47443059 tf integral fecha hora cita 11/11/2025 09 30 origen zona bananera destino cienaga fecha hora ida 11/11/2025 06 00 apoyo no acompañante no. $25.000 por trayecto.</t>
  </si>
  <si>
    <t>Giro anticipado inter retorno aut 47443059 tf integral fecha hora cita 11/11/2025 09 30 origen cienaga destino zona bananera fecha hora retorno 11/11/2025 12 00 ap no acp no.$25.000 por trayecto.</t>
  </si>
  <si>
    <t>Giro anticipado inter ida aut 46213585 fecha 10112025 hora 1200 resonancia origen san carlos de guaroa destino villavicencio apoyo no cel 3115732848 acomp no trayecto 25000</t>
  </si>
  <si>
    <t>Giro anticipado inter retorno aut 46213585 fecha 10112025 hora 1200 resonancia origen villavicencio destino san carlos de guaroa apoyo no cel 3115732848 acomp no trayecto 25000</t>
  </si>
  <si>
    <t>Giro anticipado interm ida z.bananera/ciénaga 47483213 terapia física fecha hora cita:10-11-2025/07:00 -ida:10-11-2025/04:00 cel:3136609883 apoyo:bastón acompañante:no valor por trayecto 25.000</t>
  </si>
  <si>
    <t>Giro anticipado interm retorno ciénaga/z.bananera 47483213 terapia física fecha hora cita:10-11-2025/07:00 -retorno:10-11-2025/10:00 cel:3136609883 apoyo:bastón acompañ:no valor por trayecto 25.000</t>
  </si>
  <si>
    <t>Giro anticipado interm ida z.bananera/ciénaga 47483213 terapia física fecha hora cita:11-11-2025/07:00 -ida:11-11-2025/04:00 cel:3136609883 apoyo:bastón acompañante:no valor por trayecto 25.000</t>
  </si>
  <si>
    <t>Giro anticipado interm retorno ciénaga/z.bananera 47483213 terapia física fecha hora cita:11-11-2025/07:00 -retorno:11-11-2025/10:00 cel:3136609883 apoyo:bastón acompañ:no valor por trayecto 25.000</t>
  </si>
  <si>
    <t>Giro anticipado interm ida z.bananera/ciénaga 47483213 terapia física fecha hora cita:12-11-2025/07:00 -ida:12-11-2025/04:00 cel:3136609883 apoyo:bastón acompañante:no valor por trayecto 25.000</t>
  </si>
  <si>
    <t>Giro anticipado interm retorno ciénaga/z.bananera 47483213 terapia física fecha hora cita:12-11-2025/07:00 -retorno:12-11-2025/10:00 cel:3136609883 apoyo:bastón acompañ:no valor por trayecto 25.000</t>
  </si>
  <si>
    <t>Giro anticipado interm ida z.bananera/ciénaga 47483213 terapia física fecha hora cita:13-11-2025/07:00 -ida:13-11-2025/04:00 cel:3136609883 apoyo:bastón acompañante:no valor por trayecto 25.000</t>
  </si>
  <si>
    <t>Giro anticipado interm retorno ciénaga/z.bananera 47483213 terapia física fecha hora cita:13-11-2025/07:00 -retorno:13-11-2025/10:00 cel:3136609883 apoyo:bastón acompañ:no valor por trayecto 25.000</t>
  </si>
  <si>
    <t>Giro anticipado interm ida z.bananera/ciénaga 47483213 terapia física fecha hora cita:14-11-2025/07:00 -ida:14-11-2025/04:00 cel:3136609883 apoyo:bastón acompañante:no valor por trayecto 25.000</t>
  </si>
  <si>
    <t>Giro anticipado interm retorno ciénaga/z.bananera 47483213 terapia física fecha hora cita:14-11-2025/07:00 -retorno:14-11-2025/10:00 cel:3136609883 apoyo:bastón acompañ:no valor por trayecto 25.000</t>
  </si>
  <si>
    <t>Giro anticipado interm ida z.bananera/ciénaga 47483213 terapia física fecha hora cita:15-11-2025/07:00 -ida:15-11-2025/04:00 cel:3136609883 apoyo:bastón acompañante:no valor por trayecto 25.000</t>
  </si>
  <si>
    <t>Giro anticipado interm retorno ciénaga/z.bananera 47483213 terapia física fecha hora cita:15-11-2025/07:00 -retorno:15-11-2025/10:00 cel:3136609883 apoyo:bastón acompañ:no valor por trayecto 25.000</t>
  </si>
  <si>
    <t>Rescate aut 47497646,autorizo giro $117.500 para la compra medicamento acetaminofén + codeína 325+8 mg, para manejo de dolor derivado de medicina general de la fecha 05/11/2025 entrega 1 de 3</t>
  </si>
  <si>
    <t>Giro anticipado inter ida/ aut 47063340 m fisica fecha 13-11-2025 10 *origen santa rosa del sur de bolívar b/manga 85.000*3162656012 ortesis muleta acomp no</t>
  </si>
  <si>
    <t>Giro anticipado inter retorno/ aut 47063340 m fisica fecha 13-11-2025 10 *origen b/manga santa rosa del sur de bolívar 85.000 *3162656012 ortesis muleta acomp no</t>
  </si>
  <si>
    <t>Giro anticipado ida zona bananera/cienaga//nº aut 47417786 fecha hora cita 12//11/25 14pm - fecha hora ida 12/11/25 12 pm cel3023227961 ap no ac no valor de trayecto 25.000</t>
  </si>
  <si>
    <t>Giro anticipado retorno cienaga zona bananera///nº aut 47417786 fecha hora cita 12//11/25 14pm - fecha hora ida 12/11/25 15 pm cel3023227961 ap no ac no valor de trayecto 25.000</t>
  </si>
  <si>
    <t>Giro anticipado ida zona bananera/cienaga//nº aut 47417786 fecha hora cita 13//11/25 14pm - fecha hora ida 13/11/25 12 pm cel3023227961 ap no ac no valor de trayecto 25.000</t>
  </si>
  <si>
    <t>Giro anticipado retorno cienaga/zona bananera///nº aut 47417786 fecha hora cita 13//11/25 14pm - fecha hora retorno 13/11/25 1530pm cel3023227961 ap no ac no valor de trayecto 25.000</t>
  </si>
  <si>
    <t>Giro-inter ida sahagún -montería nº aut 47430874 ortopedia y traumatologia fecha hora cita 28 / 11 / 2025 09:30 fecha hora ida 27/ 11 / 202511:00 cel 3126015605 apoyo no acompañante no -$ 40,000</t>
  </si>
  <si>
    <t>Giro- inter retorno montería - sahagún nº aut 47430874 ortopedia y traumatologia fecha hora cita 28/11/2025 09:30 fecha hora retorno  28/11/2025 11:40  cel 3126015605 apoyo no acompañante no -$ 40,000</t>
  </si>
  <si>
    <t>Giro anticipado inter ida aut 47443059 tf integral fecha hora cita 12/11/2025 09 30 origen zona bananera destino ciénaga fecha hora ida 12/11/2025 06 00 apoyo no acompañante no. $25.000 por trayecto.</t>
  </si>
  <si>
    <t>Giro anticipado inter retorno aut 47443059 tf integral fecha hora cita 12/11/2025 09 30 origen cienaga destino zona bananera fecha hora retorno 12/11/2025 12 00 ap no acp no.$25.000 por trayecto.</t>
  </si>
  <si>
    <t>Giro anticipado inter ida aut 47443059 tf integral fecha hora cita 13/11/2025 09 30 origen zona bananera destino cienaga fecha hora ida 13/11/2025 06 00 apoyo no acompañante no. $25.000 por trayecto.</t>
  </si>
  <si>
    <t>Giro anticipado inter retorno aut 47443059 tf integral fecha hora cita 13/11/2025 09 30 origen cienaga destino zona bananera fecha hora retorno 13/11/2025 12 00 ap no acp no.$25.000 por trayecto.</t>
  </si>
  <si>
    <t>Giro anticipado inter ida aut 47364724 control paliativos fecha 13/11/25 hora 1145am origen z. bananera destino cienaga cel 3042649250 apoyo baston acomp si z. bananera a cienaga 50k por trayecto</t>
  </si>
  <si>
    <t>Giro anticipado inter retorno aut 47364724 control paliativos fecha 13/11/25 1145am origen cienaga destino z. bananera cel 3042649250 apoyo baston acomp si barranquilla a z. bananera 50k por trayecto</t>
  </si>
  <si>
    <t>Giro anticipado ida tiquete inter zona bananera/ciénaga aut 47250906 terapia fecha hora cita 15/11/25 07:00 fecha hora ida 15/11/25 06:00 cel 3042649250 apoyo:bastón acomp si valor del giro 50000</t>
  </si>
  <si>
    <t>Giro anticipado retorno tiquete inter ciénaga/zona bananera aut 47250906 terapia fecha hora cita 15/11/25 07:00 fecha hora retorno 15/11/25 11:00 cel 3042649250 ap:bastón ac:si valor del giro 50000</t>
  </si>
  <si>
    <t>Autorizo giro anticipado a medicann ips por $417.000 con domicilio para compra de fórmula magistral # 2 derivado de medicina dolor 16-10-2025 entrega única, en cumplimiento a desacato.</t>
  </si>
  <si>
    <t>Se autoriza giro por monto $155.600 en droguería equilibrio para xanax -0.25 mg derivado de psiquiatría de la fecha 30/10/2025 entrega unica, cambio de prov 47444700</t>
  </si>
  <si>
    <t>Se autoriza giro anticipado compra de palexis ® 50 mg.-50 mg, medicina del dolor de fecha 30/10/2025, manejo dolor entrega única. cambio de auto 47454921. por $228.400 bajo aval de casa matriz a.v.</t>
  </si>
  <si>
    <t>Se autoriza giro anticipado compra de linksport-200 ml-frasco, de fisiatría,fecha 17/10/2025, manejo de dolor entrega 1 de 3. cambio de auto 47181991. por $115.800 bajo aval de casa matriz a.v.</t>
  </si>
  <si>
    <t>Giro anticipado ida tiquete inter zona bananera/ciénaga aut 47513461 terapia fecha hora cita 13/11/25 08:00 fecha hora ida 13/11/25 06:00 cel 3242238711 apoyo:no acomp no valor del giro 25.000</t>
  </si>
  <si>
    <t>Giro anticipado retorno tiquete inter ciénaga/zona bananera aut 47513461 terapia fecha hora cita 13/11/25 08:00 fecha hora retorno 13/11/25 11:00 cel 3242238711 ap:no ac:no valor del giro 25.000</t>
  </si>
  <si>
    <t>Giro anticipado ida tiquete inter zona bananera/ciénaga aut 47513461 terapia fecha hora cita 14/11/25 08:00 fecha hora ida 14/11/25 06:00 cel 3242238711 apoyo:no acomp no valor del giro 25.000</t>
  </si>
  <si>
    <t>Giro anticipado retorno tiquete inter ciénaga/zona bananera aut 47513461 terapia fecha hora cita 14/11/25 08:00 fecha hora retorno 14/11/25 11:00 cel 3242238711 ap:no ac:no valor del giro 25.000</t>
  </si>
  <si>
    <t>Giro anticipado ida tiquete inter zona bananera/ciénaga aut 47513461 terapia fecha hora cita 15/11/25 08:00 fecha hora ida 15/11/25 06:00 cel 3242238711 apoyo:no acomp no valor del giro 25.000</t>
  </si>
  <si>
    <t>Giro anticipado retorno tiquete inter ciénaga/zona bananera aut 47513461 terapia fecha hora cita 15/11/25 08:00 fecha hora retorno 15/11/25 11:00 cel 3242238711 ap:no ac:no valor del giro 25.000</t>
  </si>
  <si>
    <t>Giro anticipado ida tiquete inter zona bananera/ciénaga aut 47513461 terapia fecha hora cita 17/11/25 08:00 fecha hora ida 17/11/25 06:00 cel 3242238711 apoyo:no acomp no valor del giro 25.000</t>
  </si>
  <si>
    <t>Giro anticipado retorno tiquete inter ciénaga/zona bananera aut 47513461 terapia fecha hora cita 17/11/25 08:00 fecha hora retorno 17/11/25 11:00 cel 3242238711 ap:no ac:no valor del giro 25.000</t>
  </si>
  <si>
    <t>Giro anticipado ida tiquete inter zona bananera/ciénaga aut 47513461 terapia fecha hora cita 18//11/25 08:00 fecha hora ida 18/11/25 06:00 cel 3242238711 apoyo:no acomp no valor del giro 25.000</t>
  </si>
  <si>
    <t>Giro anticipado retorno tiquete inter ciénaga/zona bananera aut 47513461 terapia fecha hora cita 18/11/25 08:00 fecha hora retorno 18/11/25 11:00 cel 3242238711 ap:no ac:no valor del giro 25.000</t>
  </si>
  <si>
    <t>Giro anticipado ida tiquete inter zona bananera/ciénaga aut 47513461 terapia fecha hora cita 19/11/25 08:00 fecha hora ida 19/11/25 06:00 cel 3242238711 apoyo:no acomp no valor del giro 25.000</t>
  </si>
  <si>
    <t>Giro anticipado retorno tiquete inter ciénaga/zona bananera aut 47513461 terapia fecha hora cita 19/11/25 08:00 fecha hora retorno 19/11/25 11:00 cel 3242238711 apoyo:no acomp no valor del giro 25.000</t>
  </si>
  <si>
    <t>Giro anticipado ida tiquete inter zona bananera/ciénaga aut 47513461 terapia fecha hora cita 20/11/25 08:00 fecha hora ida 20/11/25 06:00 cel 3242238711 apoyo:no acomp no valor del giro 25.000</t>
  </si>
  <si>
    <t>Giro anticipado retorno tiquete inter ciénaga/zona bananera aut 47513461 terapia fecha hora cita 20/11/25 08:00 fecha hora retorno 20/11/25 11:00 cel 3242238711 apoyo:no acomp no valor del giro 25.000</t>
  </si>
  <si>
    <t>Giro anticipado ida tiquete inter zona bananera/ciénaga aut 47513461 terapia fecha hora cita 21/11/25 08:00 fecha hora ida 21/11/25 06:00 cel 3242238711 apoyo:no acomp no valor del giro 25.000</t>
  </si>
  <si>
    <t>Giro anticipado retorno tiquete inter ciénaga/zona bananera aut 47513461 terapia fecha hora cita 21/11/25 08:00 fecha hora retorno 21/11/25 11:00 cel 3242238711 apoyo:no acomp no valor del giro 25.000</t>
  </si>
  <si>
    <t>Giro anticipado ida tiquete inter zona bananera/ciénaga aut 47513461 terapia fecha hora cita 22/11/25 08:00 fecha hora ida 22/11/25 06:00 cel 3242238711 apoyo:no acomp no valor del giro 25.000</t>
  </si>
  <si>
    <t>Giro anticipado retorno tiquete inter ciénaga/zona bananera aut 47513461 terapia fecha hora cita 22/11/25 08:00 fecha hora retorno 22/11/25 11:00 cel 3242238711 apoyo:no acomp no valor del giro 25.000</t>
  </si>
  <si>
    <t>Giro anticipado ida zona bananera/ciénaga//nº aut 47417786 fecha hora cita 14//11/25 14pm - fecha hora ida 14/11/25 12 pm cel3023227961 ap no ac no valor de trayecto 25.000</t>
  </si>
  <si>
    <t>Giro anticipado retorno ciénaga /zona bananera nº aut 47417786 fecha hora cita 14//11/25 14pm - fecha hora retorno 14/11/25 15 pm cel3023227961 ap no ac no valor de trayecto 25.000</t>
  </si>
  <si>
    <t>Giro anticipado ida zona bananera/cienaga//nº aut 47417786 fecha hora cita 15//11/25 14pm - fecha hora ida 15/11/25 12 pm cel3023227961 ap no ac no valor de trayecto 25.000</t>
  </si>
  <si>
    <t>Giro anticipado retorno cienaga /zona bananera nº aut 47417786 fecha hora cita 15/11/25 14pm - fecha hora retorno 15/11/25 15 pm cel3023227961 ap no ac no valor de trayecto 25.000</t>
  </si>
  <si>
    <t>Giro anticipado ida zona bananera/cienaga//nº aut 47417786 fecha hora cita 18//11/25 14pm - fecha hora ida 18/11/25 12 pm cel3023227961 ap no ac no valor de trayecto 25.000</t>
  </si>
  <si>
    <t>Giro anticipado retorno cienaga /zona bananera nº aut 47417786 fecha hora cita 18/11/25 14pm - fecha hora retorno 18/11/25 15 pm cel3023227961 ap no ac no valor de trayecto 25.000</t>
  </si>
  <si>
    <t>Autorizo giro anticipado para la compra de valcote® er 500mg tableta para manejo de secuelas de at derivado de psiquiatría del 24/10/2025 entrega 1 de 3, por valor 148.000 bajo aval de casa matriz av</t>
  </si>
  <si>
    <t>Autorizo giro de $ 75.901.12 incluido domicilio $ 6.722. de calzador de medias de compresión # 1 derivada de fisiatría del 16/10/25 entrega única en cumplimiento a fallo</t>
  </si>
  <si>
    <t>Giro anticipado//inter ida zona bananera- ciénaga nº aut 47327235 fisiatría fecha cita 13-nov-25 10:40am fecha ida 13-nov-25 09am cel 3014400978 apoyo no acompañante no valor por trayecto $25.000</t>
  </si>
  <si>
    <t>Giro anticipado//inter retorno ciénaga-zona bananera nº aut 47327235 fisiatría fecha cita 13-nov-25 10:40am fecha retorno 13-nov-25 13pm cel 3014400978 apoyo no acom no valor por trayecto $25.000</t>
  </si>
  <si>
    <t>Giro anticipado inter ida zona bananera /ciénaga /47327085 47327086 terapias física y ocupacional fecha 13/11/25 14 00 ida:13/11/25 12 pm cel:3014400978 ap:no ac:no valor trayecto:25.000</t>
  </si>
  <si>
    <t>Giro anticipado inter retorno ciénaga/zona bananerat erapias física y ocupacional fecha 13/11/25 14 00 retorno 13/11/25 16 00 cel:3014400978 ap :no ac no valor trayecto:25.000</t>
  </si>
  <si>
    <t>giro anticipado inter ida zona bananera /ciénaga /47327085 47327086 terapias física y ocupacional fecha 14/11/25 14 00 ida:14/11/25 12 pm cel:3014400978 ap:no ac:no valor trayecto:25.000</t>
  </si>
  <si>
    <t>Giro anticipado inter retorno ciénaga/zona bananera terapias física y ocupacional fecha 14/11/25 14 00 retorno 14/11/25 16 00 cel:3014400978 ap :no ac no valor trayecto:25.000</t>
  </si>
  <si>
    <t>Giro anticipado inter ida/ aut 47327085 t fisica fecha 18/11/2025 a las 13 origen zona bananera a cienaga 3014400978 soporte de apoyono acompañante no *25000</t>
  </si>
  <si>
    <t>Giro anticipado inter retorno / aut 47327085 t fisica fecha 18/11/2025 a las 15* origen cienaga zona bananera * 3014400978 soporte de apoyono acompañante no *25000 valor</t>
  </si>
  <si>
    <t>Giro anticipado inter ida/ aut 47327085 t fisica fecha 19 /11/2025 a las 13 origen zona bananera a cienaga 3014400978 soporte de apoyono acompañante no *25000 valo</t>
  </si>
  <si>
    <t>Giro anticipado inter retorno / aut 47327085 t fisica fecha 19/11/2025 a las 15* origen cienaga zona bananera * 3014400978 soporte de apoyono acompañante no *25000 valor</t>
  </si>
  <si>
    <t>Giro anticipado inter ida/ aut 47327085 t fisica fecha 20/11/2025 a las 13 origen zona bananera a cienaga 3014400978 soporte de apoyono acompañante no *25000 valo</t>
  </si>
  <si>
    <t>giro anticipado inter retorno / aut 47327085 t fisica fecha 20/11/2025 a las 15* origen cienaga zona bananera * 3014400978 soporte de apoyono acompañante no *25000 valor</t>
  </si>
  <si>
    <t>Giro anticipado inter ida/ aut 47327085 t fisica fecha 21/11/2025 a las 13 origen zona bananera a cienaga 3014400978 soporte de apoyono acompañante no *25000 valo</t>
  </si>
  <si>
    <t>giro anticipado inter retorno / aut 47327085 t fisica fecha 21/11/2025 a las 15* origen cienaga zona bananera * 3014400978 soporte de apoyono acompañante no *25000 valor</t>
  </si>
  <si>
    <t>Giro anticipado inter ida z/ bananera/ santa marta 47327234 ortopedia de rodilla cita:24/11/225/15: ida:24/11/25-12: cel:3014400978 ap:no acom:no valor trayecto:25.000</t>
  </si>
  <si>
    <t>Giro anticipado inter retorno santa marta/z/ bananera 47327234 ortopedia de rodilla cita:24/11/2025-15:00-retorno:24/11/25-16:00 cel:3014400978 apo:no acom:no valor trayecto:25.000</t>
  </si>
  <si>
    <t>Giro anticipado inter ida aut 47443059 tf integral fecha hora cita 14/11/2025 09 30 origen zona bananera destino cienaga fecha hora ida 14/11/2025 06 00 apoyo no acompañante no. $25.000 por trayecto.</t>
  </si>
  <si>
    <t>Giro anticipado inter retorno aut 47443059 tf integral fecha hora cita 14/11/2025 09 30 origen cienaga destino zona bananera fecha hora retorno 14/11/2025 12 00 ap no acp no.$25.000 por trayecto.</t>
  </si>
  <si>
    <t>Giro anticipado inter ida aut 47443059 tf integral fecha hora cita 15/11/2025 09 30 origen zona bananera destino cienaga fecha hora ida 15/11/2025 06 00 apoyo no acompañante no. $25.000 por trayecto.</t>
  </si>
  <si>
    <t>Giro anticipado inter retorno aut 47443059 tf integral fecha hora cita 15/11/2025 09 30 origen cienaga destino zona bananera fecha hora retorno 15/11/2025 12 00 ap no acp no.$25.000 por trayecto.</t>
  </si>
  <si>
    <t>Giro anticipado ida aut 47257533 fecha 15 11 2025 hora 09 00 cita dolor origen terminal zona bananera destino terminal santa marta apoyo no cel3113545531 acomp no monto 25 000</t>
  </si>
  <si>
    <t>Giro anticipado retorno aut 47257533 fecha 15 11 2025 hora 09 00 cita dolor origen terminal santa marta destino terminal zona bananera apoyo no cel 3113545531 acomp no monto 25 000</t>
  </si>
  <si>
    <t>Se autoriza giro por monto $91.400 en droguerías santa maria para montelukast 5 mg derivado de neumologia de la fecha 08/09/2025 entrega 1 de 3, cambio de prov 47450509</t>
  </si>
  <si>
    <t>Se autoriza giro anticipado compra de palexis® retard 25mg-25 mg- para manejo de dolor derivado de medicina del dolor de fecha 24/10/2025 entrega única. por $65.000 bajo aval de casa matriz a.v.</t>
  </si>
  <si>
    <t>Autorizo gia $404,000 incluido domi(20,000) para compra suplemento dietario peptageen c/u $128,000 derivado ortopedia 17-07-25 at: 23-10-11 entrega 1, 2 y 3 de 3 en cumpli a desacato</t>
  </si>
  <si>
    <t>Se autoriza giro anticipado para compra wellbutrin® xl 150 mg aut 47479009 para manejo de esfera mental derivado de psiquiatría fecha 24/10/2025 entrega 1 de 3 por el valor $64.200 bajo aval a.v.</t>
  </si>
  <si>
    <t>Se autoriza giro anticipado compra de transtec 35 mcg/ h-20 mg manejo de dolor derivado de medicina del dolor de fecha 06/11/2025 entrega única. por el valor de $248.400 bajo aval de casa matriz a.v.</t>
  </si>
  <si>
    <t>Giro anticipado ida zona bananera/santa marta //nº aut 4743754247437541 fecha hora cita 181125 hora1000fecha hora ida 181125 hora0600 cel3023227961 ap no ac no valor de trayecto 25.000</t>
  </si>
  <si>
    <t>Giro anticipado retorno santa marta /zona bananera nº aut 4743754247437541 fecha hora cita 181125 hora1000 fecha hora retorno 181125 hora1200 cel3023227961 ap no ac no valor de trayecto 25.000</t>
  </si>
  <si>
    <t>Giro anticipado ida zona bananera/cienaga//nº aut 47417786 fecha hora cita 19/11/25 14pm - fecha hora ida 19/11/25 12 pm cel3023227961 ap no ac no valor de trayecto 25.000</t>
  </si>
  <si>
    <t>Giro anticipado retorno cienaga /zona bananera nº aut 47417786 fecha hora cita 19/11/25 14pm - fecha hora retorno 19/11/25 15 pm cel3023227961 ap no ac no valor de trayecto 25.000</t>
  </si>
  <si>
    <t>Giro anticipado ida aut 47570713 fecha 20 11 2025hora 11 00 cita electromiografia origen cl 14 cr5a n5a-01 b destino cr 5 7 b centenario cienga apoyo no cel 3023227961 acomp no</t>
  </si>
  <si>
    <t>Giro anticipado retorno aut 47570713 fecha 20 11 2025hora 11 00 cita electromiografia origen cr 5 7 b centenario cienga destino zona bananera apoyo no cel 3023227961 acomp no monto 25 000</t>
  </si>
  <si>
    <t>Giro anticipado ida zona bananera/cienaga//nº aut 47417786 fecha hora cita 20/11/25 14pm - fecha hora ida 20/11/25 12 pm cel3023227961 ap no ac no valor de trayecto 25.000</t>
  </si>
  <si>
    <t>Giro anticipado retorno cienaga /zona bananera nº aut 47417786 fecha hora cita 20/11/25 14pm - fecha hora retorno 20/11/25 15 pm cel3023227961 ap no ac no valor de trayecto 25.000</t>
  </si>
  <si>
    <t>Giro anticipado interm santa rosa del sur/bucaramanga 47502705 control neumología cita:20-11-2025/15:00- fecha ida:20-11-2025/04:00 cel:3218824276 apoyo:oxigeno acompañante:si valortrayecto 170.000</t>
  </si>
  <si>
    <t>Giro anticipado interm retorno bucaramanga/santa rosa del sur 47502705 con neumología cita:20-11-2025/15:00 -retorno:21-11-2025/15:00 cel:3218824276 apoyo:oxigeno acompaña:si valor trayecto 170.000</t>
  </si>
  <si>
    <t>Autorizo giro de $1.590.000 incluido domicilio, para sinalgen maxtabletas.-325 mg + 10 mgcant 240 , entrega 1 y 2 de 3 ,derivado de dolor del 15/10/25 para manejo de dolor, en cumplimiento a fallo.</t>
  </si>
  <si>
    <t>Autorizo gia para compra de coquan gotas-2.5 total $159,800 c/u a $ 79,900 sin domicilio derivado de psiquiatría 23-sept-25 entrega única ep: 10-09-21, en cumplimiento a desacato formato renovado.</t>
  </si>
  <si>
    <t>Giro anticipado intermunicipal ida los patios / cucuta aut 47359216 terapia hidráulicas fecha 14 noviembre 7 am cel 3134451598 apoyo silla ruedas rígida acompañante si valor 65 .000</t>
  </si>
  <si>
    <t>Giro anticipado intermunicipal retorno cucuta / los patios aut 47359216 terapia hidráulicas fecha 14 noviembre 8 am cel 3134451598 apoyo silla de ruedas rígida acompañante si valor 65.000</t>
  </si>
  <si>
    <t>Giro- inter ida corregimiento el crucero-sahagun nº aut 47543934 ocupacional fecha hora cita18/11/2025 14:00 fecha hora ida 18/11/2025 06:00 cel 311 4149692 apoyo no acompañante no -$ 40,000</t>
  </si>
  <si>
    <t>Giro- inter retorno sahagun- corregimiento el crucero nº aut 47543934 ocupacional fecha hora cita 18/11/2025 14:00 - fecha hora retorno 18/11/2025 17:00 cel 3126015605 apoyo no acomp no -$ 40,000</t>
  </si>
  <si>
    <t>Giro anticipado interm ida san carlos de guaroa/villavicencio 47281854 control cirugía plástica cita:22-11-2025/11:20 ida:22-11-2025/07:00 cel:3142115125 apoyo:no acom:no valor por trayecto 25:000</t>
  </si>
  <si>
    <t>Giro anticipado interm retorno villavicencio/san carlos de guaroa 47281854 control cirugía plástica cita:22-11-2025/11:20 -retorno:22-11-2025/14:00 cel:3142115125 ap:no aco:no valor trayecto: 25:000</t>
  </si>
  <si>
    <t>Giro anticipado ida tiquete inter zona bananera/ciénaga aut 47540977 terapia fecha hora cita 18/11/25 10:00 fecha hora ida 18/11/25 06:00 cel 3042649250 apoyo:baston acomp si valor del giro 50.000</t>
  </si>
  <si>
    <t>Giro anticipado retorno tiquete inter ciénaga/zona bananera aut 47540977 terapia fecha hora cita 18/11/25 10:00 fecha hora retorno 18/11/25 13:00 cel 3042649250 ap:baston ac:si valor del giro 50.000</t>
  </si>
  <si>
    <t>Giro anticipado ida tiquete inter zona bananera/ciénaga aut 47503197 cx de mano fecha hora cita 19/11/25 11:00 fecha hora ida 19/11/25 06:00 cel 3042649250 apoyo:baston acomp si valor del giro 50000</t>
  </si>
  <si>
    <t>Giro anticipado retorno tiquete inter ciénaga/zona bananera aut 47503197 cx de mano fecha hora cita 19/11/25 11:00 fecha hora retorno 19/11/25 12:00 cel 3042649250 ap:baston acsi valor del giro 50000</t>
  </si>
  <si>
    <t>Giro anticipado ida tiquete inter zona bananera/ciénaga aut 47540977 terapia fecha hora cita 20/11/25 10:00 fecha hora ida 20/11/25 06:00 cel 3042649250 apoyo:baston acomp si valor del giro 50.000</t>
  </si>
  <si>
    <t>Giro anticipado retorno tiquete inter ciénaga/zona bananera aut 47540977 terapia fecha hora cita 20/11/25 10:00 fecha hora retorno 20/11/25 13:00 cel 3042649250 ap:baston ac:si valor del giro 50.000</t>
  </si>
  <si>
    <t>Giro anticipado ida tiquete inter zona bananera/ciénaga aut 47540977 terapia fecha hora cita 21/11/25 10:00 fecha hora ida 21/11/25 06:00 cel 3042649250 apoyo:baston acomp si valor del giro 50.000</t>
  </si>
  <si>
    <t>Giro anticipado retorno tiquete inter ciénaga/zona bananera aut 47540977 terapia fecha hora cita 21/11/25 10:00 fecha hora retorno 21/11/25 13:00 cel 3042649250 ap:baston ac:si valor del giro 50.000</t>
  </si>
  <si>
    <t>Giro anticipado ida tiquete inter zona bananera/ciénaga aut 47540977 terapia fecha hora cita 22/11/25 10:00 fecha hora ida 22/11/25 06:00 cel 3042649250 apoyo:baston acomp si valor del giro 50.000</t>
  </si>
  <si>
    <t>Giro anticipado retorno tiquete inter ciénaga/zona bananera aut 47540977 terapia fecha hora cita 22/11/25 10:00 fecha hora retorno 22/11/25 13:00 cel 3042649250 ap:baston ac:si valor del giro 50.000</t>
  </si>
  <si>
    <t>Giro anticipado ida tiquete inter zona bananera/ciénaga aut 47540977 terapia fecha hora cita 24/11/25 10:00 fecha hora ida 24/11/25 06:00 cel 3042649250 apoyo:baston acomp si valor del giro 50.000</t>
  </si>
  <si>
    <t>Giro anticipado retorno tiquete inter ciénaga/zona bananera aut 47540977 terapia fecha hora cita 24/11/25 10:00 fecha hora retorno 24/11/25 13:00 cel 3042649250 ap:baston ac:si valor del giro 50.000</t>
  </si>
  <si>
    <t>Giro anticipado ida tiquete inter zona bananera/ciénaga aut 47540977 terapia fecha hora cita 25/11/25 10:00 fecha hora ida 25/11/25 06:00 cel 3042649250 apoyo:baston acomp si valor del giro 50.000</t>
  </si>
  <si>
    <t>Giro anticipado retorno tiquete inter ciénaga/zona bananera aut 47540977 terapia fecha hora cita 25/11/25 10:00 fecha hora retorno 25/11/25 13:00 cel 3042649250 ap:baston ac:si valor del giro 50.000</t>
  </si>
  <si>
    <t>Giro anticipado ida tiquete inter zona bananera/ciénaga aut 47540977 terapia fecha hora cita 26/11/25 10:00 fecha hora ida 26/11/25 06:00 cel 3042649250 apoyo:baston acomp si valor del giro 50.000</t>
  </si>
  <si>
    <t>Giro anticipado retorno tiquete inter ciénaga/zona bananera aut 47540977 terapia fecha hora cita 26/11/25 10:00 fecha hora retorno 26/11/25 13:00 cel 3042649250 ap:baston ac:si valor del giro 50.000</t>
  </si>
  <si>
    <t>Giro anticipado ida tiquete inter zona bananera/ciénaga aut 47540977 terapia fecha hora cita 27/11/25 10:00 fecha hora ida 27/11/25 06:00 cel 3042649250 apoyo:baston acomp si valor del giro 50.000</t>
  </si>
  <si>
    <t>Giro anticipado retorno tiquete inter ciénaga/zona bananera aut 47540977 terapia fecha hora cita 27/11/25 10:00 fecha hora retorno 27/11/25 13:00 cel 3042649250 ap:baston ac:si valor del giro 50.000</t>
  </si>
  <si>
    <t>Giro anticipado ida tiquete inter zona bananera/ciénaga aut 47540977 terapia fecha hora cita 28/11/25 10:00 fecha hora ida 28/11/25 06:00 cel 3042649250 apoyo:baston acomp si valor del giro 50.000</t>
  </si>
  <si>
    <t>Giro anticipado retorno tiquete inter ciénaga/zona bananera aut 47540977 terapia fecha hora cita 28/11/25 10:00 fecha hora retorno 28/11/25 13:00 cel 3042649250 ap:baston ac:si valor del giro 50.000</t>
  </si>
  <si>
    <t>Giro anticipado ida tiquete inter zona bananera/ciénaga aut 47540977 terapia fecha hora cita 29/11/25 10:00 fecha hora ida 29/11/25 06:00 cel 3042649250 apoyo:baston acomp si valor del giro 50.000</t>
  </si>
  <si>
    <t>Giro anticipado retorno tiquete inter ciénaga/zona bananera aut 47540977 terapia fecha hora cita 29/11/25 10:00 fecha hora retorno 29/11/25 13:00 cel 3042649250 ap:baston ac:si valor del giro 50.000</t>
  </si>
  <si>
    <t>Giro anticipado inter ida aut 47443059 tf integral fecha hora cita 19/11/2025 09 30 origen zona bananera destino cienaga fecha hora ida 19/11/2025 06 00 apoyo no acompañante no. $25.000 por trayecto.</t>
  </si>
  <si>
    <t>Giro anticipado inter retorno aut 47443059 tf integral fecha hora cita 19/11/2025 09 30 origen cienaga destino zona bananera fecha hora retorno 19/11/2025 12 00 ap no acp no.$25.000 por trayecto.</t>
  </si>
  <si>
    <t>Giro anticipado inter ida aut 47483213 tf integral fecha hora cita 18/11/2025 07 00 origen zona bananera destino cienaga fecha hora ida 18/11/2025 04 00 apoyo no acompañante no. $25.000 por trayecto.</t>
  </si>
  <si>
    <t>Giro anticipado inter retorno aut 47483213 tf integral fecha hora cita 18/11/2025 07 00 origen cienaga destino zona bananera fecha hora retorno 18/11/2025 11 00 ap no acp no.$25.000 por trayecto.</t>
  </si>
  <si>
    <t>Autorizo giro $474.000 para acetaminofén / hidrocodona-325mg + 5mg y versatis® 5% parches con droguería subsidrogas entrega 1-3 derivado de medicina del dolor del 07/10/25.</t>
  </si>
  <si>
    <t>Giro anticipado interm ida santarosasur/bucaramanga 47436012 control ortopedia hora cita:19-11-2025/16:00 -ida:19-11-2025/04:00 cel:3187474911 apoyo:no acompañante:no valora trayecto 85.000</t>
  </si>
  <si>
    <t>Giro anticipado interm retorno bucaramanga/santarosasur 47436012 control ortopedia hora cita:19-11-2025/16:00 - retorno:20-11-2025/05:00 cel: 3187474911 apoyo:no acompañ:no valora trayecto 85.000</t>
  </si>
  <si>
    <t>Autorizo giro $193.860 + domi voltaren® emulgel forte 2.32% entregas 1 de 3 derivado de la atención por medicina general de la fecha 30102025, en cumplimiento a fallo cambio 47478480</t>
  </si>
  <si>
    <t>Autorizo giro $ 181.739 + domicilio para forz sport. solucion topica-1 mg + 12 mg cantidad 3 derivado de medicina del dolor del 09/10/2025 entrega 3 de 3 en cumplimiento a fallo, con farmatodo</t>
  </si>
  <si>
    <t>Cambio aut 47490827 se autoriza radiografías intraoral periapicales superiores validar alcance de trauma derivado de odontología del 24/10/2025 bajo aval de giro anticipado por monto total de $35.000</t>
  </si>
  <si>
    <t>Autorizo giro $ 41.840 + domicilio para betaduo® 2ml-10 mg + 4 mg--suspension inyectable , derivado de medicina ocupacional del día 12-11-25, entrega única, cambio 47556854 con la rebaja</t>
  </si>
  <si>
    <t>Se autoriza rescate aut:47459755 giro $96.150 para medicamento bronax solucion oftalmica x 5ml para manejo de dolor por at derivado de oftalmología del 29-10-2025. entrega única.</t>
  </si>
  <si>
    <t>Giro anticipado ida zona bananera/cienaga//nº aut 47417786 fecha hora cita 21/11/25 14pm - fecha hora ida 21/11/25 12 pm cel3023227961 ap no ac no valor de trayecto 25.000</t>
  </si>
  <si>
    <t>Giro anticipado retorno cienaga /zona bananera nº aut 47417786 fecha hora cita 21/11/25 14pm - fecha hora retorno 21/11/25 15 pm cel3023227961 ap no ac no valor de trayecto 25.000</t>
  </si>
  <si>
    <t>Giro anticipado ida zona bananera/cienaga//nº aut 47417786 fecha hora cita 22/11/25 14pm - fecha hora ida 22/11/25 12 pm cel3023227961 ap no ac no valor de trayecto 25.000</t>
  </si>
  <si>
    <t>Giro anticipado retorno cienaga /zona bananera nº aut 47417786 fecha hora cita 22/11/25 14pm - fecha hora retorno 22/11/25 15 pm cel3023227961 ap no ac no valor de trayecto 25.000</t>
  </si>
  <si>
    <t>Giro anticipado ida zona bananeracienaganº aut 47417786 fecha hora cita 241125 14pm - fecha hora ida 241125 12 pm cel3023227961 ap no ac no valor de trayecto 25000</t>
  </si>
  <si>
    <t>Giro anticipado retorno cienaga /zona bananera nº aut 47417786 fecha hora cita 24/11/25 14pm - fecha hora retorno 24/11/25 15 pm cel3023227961 ap no ac no valor de trayecto 25.000</t>
  </si>
  <si>
    <t>Giro anticipado ida zona bananera/cienaga//nº aut 47417786 fecha hora cita 25/11/25 14pm - fecha hora ida 25/11/25 12 pm cel3023227961 ap no ac no valor de trayecto 25.000</t>
  </si>
  <si>
    <t>Giro anticipado retorno ciénaga /zona bananera nº aut 47417786 fecha hora cita 25/11/25 14pm - fecha hora retorno 25/11/25 15 pm cel3023227961 ap no ac no valor de trayecto 25.000</t>
  </si>
  <si>
    <t>Giro anticipado ida zona bananera/cienaga//nº aut 47417786 fecha hora cita 26/11/25 14pm - fecha hora ida 26/11/25 12 pm cel3023227961 ap no ac no valor de trayecto 25.000</t>
  </si>
  <si>
    <t>Giro anticipado retorno cienaga /zona bananera nº aut 47417786 fecha hora cita 26/11/25 14pm - fecha hora retorno 26/11/25 15 pm cel3023227961 ap no ac no valor de trayecto 25.000</t>
  </si>
  <si>
    <t>Giro anticipado ida zona bananera/cienaga//nº aut 47417786 fecha hora cita 27/11/25 14pm - fecha hora ida 27/11/25 12 pm cel3023227961 ap no ac no valor de trayecto 25.000</t>
  </si>
  <si>
    <t>Giro anticipado retorno cienaga /zona bananera nº aut 47417786 fecha hora cita 27/11/25 14pm - fecha hora retorno 27/11/25 15 pm cel3023227961 ap no ac no valor de trayecto 25.000</t>
  </si>
  <si>
    <t>Giro anticipado inter ida aut 47443059 tf integral fecha hora cita 20/11/2025 09 30 origen zona bananera destino cienaga fecha hora ida 20/11/2025 06 00 apoyo no acompañante no. $25.000 por trayecto.</t>
  </si>
  <si>
    <t>Giro anticipado inter retorno aut 47443059 tf integral fecha hora cita 20/11/2025 09 30 origen cienaga destino zona bananera fecha hora retorno 20/11/2025 12 00 ap no acp no.$25.000 por trayecto.</t>
  </si>
  <si>
    <t>Giro anticipado inter ida aut 47443059 tf integral fecha hora cita 21/11/2025 09 30 origen zona bananera destino cienaga fecha hora ida 21/11/2025 06 00 apoyo no acompañante no. $25.000 por trayecto.</t>
  </si>
  <si>
    <t>Giro anticipado inter retorno aut 47443059 tf integral fecha hora cita 21/11/2025 09 30 origen cienaga destino zona bananera fecha hora retorno 21/11/2025 12 00 ap no acp no.$25.000 por trayecto.</t>
  </si>
  <si>
    <t>Giro anticipado inter ida aut 47443059 tf integral fecha hora cita 22/11/2025 09 30 origen zona bananera destino cienaga fecha hora ida 22/11/2025 06 00 apoyo no acompañante no. $25.000 por trayecto.</t>
  </si>
  <si>
    <t>Giro anticipado inter retorno aut 47443059 tf integral fecha hora cita 22/11/2025 09 30 origen cienaga destino zona bananera fecha hora retorno 22/11/2025 12 00 ap no acp no.$25.000 por trayecto.</t>
  </si>
  <si>
    <t>Giro anticipado inter ida aut 47443059 tf integral fecha hora cita 24/11/2025 09 30 origen zona bananera destino cienaga fecha hora ida 24/11/2025 06 00 apoyo no acompañante no. $25.000 por trayecto.</t>
  </si>
  <si>
    <t>Giro anticipado inter retorno aut 47443059 tf integral fecha hora cita 24/11/2025 09 30 origen cienaga destino zona bananera fecha hora retorno 24/11/2025 12 00 ap no acp no.$25.000 por trayecto.</t>
  </si>
  <si>
    <t>Giro anticipado inter ida aut 47443059 tf integral fecha hora cita 26/11/2025 09 30 origen zona bananera destino cienaga fecha hora ida 26/11/2025 06 00 apoyo no acompañante no. $25.000 por trayecto.</t>
  </si>
  <si>
    <t>Giro anticipado inter retorno aut 47443059 tf integral fecha hora cita 26/11/2025 09 30 origen cienaga destino zona bananera fecha hora retorno 26/11/2025 12 00 ap no acp no.$25.000 por trayecto.</t>
  </si>
  <si>
    <t>Giro anticipado inter ida aut 47443059 tf integral fecha hora cita 29/11/2025 09 30 origen zona bananera destino ciénaga fecha hora ida 29/11/2025 06 00 apoyo no acompañante no. $25.000 por trayecto.</t>
  </si>
  <si>
    <t>Giro anticipado inter retorno aut 47443059 tf integral fecha hora cita 29/11/2025 09 30 origen cienaga destino zona bananera fecha hora retorno 29/11/2025 12 00 ap no acp no.$25.000 por trayecto.</t>
  </si>
  <si>
    <t>Giro anticipado ida tiquete inter buenos aires santander de quilichao aut 47460920 terapia fisica 21 noviembre a las 14 pm cel 3235856834 apoyo no acompañante si valor del giro 40000</t>
  </si>
  <si>
    <t>Giro anticipado retorno tiquete inter santander de quilichao buenos aires aut 47460920 terapia fisica 21 noviembre a las 15 pm cel 3235856834 apoyo no acompañante si valor del giro 40000</t>
  </si>
  <si>
    <t>Giro anticipado ida tiquete inter buenos aires santander de quilichao aut 47460920 terapia fisica 22 noviembre a las 14 pm cel 3235856834 apoyo no acompañante si valor del giro 40000</t>
  </si>
  <si>
    <t>Giro anticipado retorno tiquete inter santander de quilichao buenos aires aut 47460920 terapia fisica 22 noviembre a las 15 pm cel 3235856834 apoyo no acompañante si valor del giro 40000</t>
  </si>
  <si>
    <t>Giro anticipado ida tiquete inter buenos aires santander de quilichao aut 47460920 terapia física 24 noviembre a las 14 pm cel 3235856834 apoyo no acompañante si valor del giro 40000</t>
  </si>
  <si>
    <t>Giro anticipado retorno tiquete inter santander de quilichao buenos aires aut 47460920 terapia fisica 24 noviembre a las 15 pm cel 3235856834 apoyo no acompañante si valor del giro 40000</t>
  </si>
  <si>
    <t>Giro anticipado ida tiquete inter buenos aires santander de quilichao aut 47460920 terapia fisica 25 noviembre a las 14 pm cel 3235856834 apoyo no acompañante si valor del giro 40000</t>
  </si>
  <si>
    <t>Giro anticipado retorno tiquete inter santander de quilichao buenos aires aut 47460920 terapia física 25 noviembre a las 15 pm cel 3235856834 apoyo no acompañante si valor del giro 40000</t>
  </si>
  <si>
    <t>Giro anticipado ida tiquete inter buenos aires santander de quilichao aut 47460920 terapia física 26 noviembre a las 14 pm cel 3235856834 apoyo no acompañante si valor del giro 40000</t>
  </si>
  <si>
    <t>Giro anticipado retorno tiquete inter santander de quilichao buenos aires aut 47460920 terapia física 26 noviembre a las 15 pm cel 3235856834 apoyo no acompañante si valor del giro 40000</t>
  </si>
  <si>
    <t>Giro anticipado ida tiquete inter buenos aires santander de quilichao aut 47460920 terapia física 27 noviembre a las 14 pm cel 3235856834 apoyo no acompañante si valor del giro 40000</t>
  </si>
  <si>
    <t>Giro anticipado retorno tiquete inter santander de quilichao buenos aires aut 47460920 terapia física 27 noviembre a las 15 pm cel 3235856834 apoyo no acompañante si valor del giro 40000</t>
  </si>
  <si>
    <t>Giro anticipado ida tiquete inter buenos aires santander de quilichao aut 47460920 terapia fisica 28 noviembre a las 14 pm cel 3235856834 apoyo no acompañante si valor del giro 40000</t>
  </si>
  <si>
    <t>Giro anticipado retorno tiquete inter santander de quilichao buenos aires aut 47460920 terapia física 28 noviembre a las 15 pm cel 3235856834 apoyo no acompañante si valor del giro 40000</t>
  </si>
  <si>
    <t>Giro anticipado ida tiquete inter buenos aires santander de quilichao aut 47460920 terapia fisica 29 noviembre a las 14 pm cel 3235856834 apoyo no acompañante si valor del giro 40000</t>
  </si>
  <si>
    <t>Giro anticipado retorno tiquete inter santander de quilichao buenos aires aut 47460920 terapia fisica 29 noviembre a las 15 pm cel 3235856834 apoyo no acompañante si valor del giro 40000</t>
  </si>
  <si>
    <t>Autorizo giro de 70.000+domi 5.000 medica magnesium 250mg cant 30 cap/ para niveles bajos de vitam c derivado anestesiología fecha 22/07/25 entrega 3/3 en cumplimiento a fallo rescate 47298126</t>
  </si>
  <si>
    <t>Giro anticipado interm ida z.bananera/ciénaga 47483213 terapia física fecha hora cita:19-11-2025/07:00 -ida:19-11-2025/04:00 cel:3136609883 apoyo:bastón acompañante:no valor por trayecto 25.000</t>
  </si>
  <si>
    <t>Vgiro anticipado interm retorno ciénaga/z.bananera 47483213 terapia física fecha hora cita:19-11-2025/07:00 -retorno:19-11-2025/10:00 cel:3136609883 apoyo:bastón acompañ:no valor por trayecto 25.000</t>
  </si>
  <si>
    <t>Giro anticipado interm ida z.bananera/ciénaga 47483213 terapia física fecha hora cita:20-11-2025/07:00 -ida:20-11-2025/04:00 cel:3136609883 apoyo:bastón acompañante:no valor por trayecto 25.000</t>
  </si>
  <si>
    <t>Giro anticipado interm retorno ciénaga/z.bananera 47483213 terapia física fecha hora cita:20-11-2025/07:00 -retorno:20-11-2025/10:00 cel:3136609883 apoyo:bastón acompañ:no valor por trayecto 25.000</t>
  </si>
  <si>
    <t>Giro anticipado interm ida z.bananera/ciénaga 47483213 terapia física fecha hora cita:21 -11-2025/07:00 -ida:21 -11-2025/04:00 cel:3136609883 apoyo:bastón acompañante:no valor por trayecto 25.000</t>
  </si>
  <si>
    <t>Giro anticipado interm retorno ciénaga/z.bananera 47483213 terapia física fecha hora cita:21 -11-2025/07:00 -retorno:21 -11-2025/10:00 cel:3136609883 apoyo:bastón acompañ:no valor por trayecto 25.000</t>
  </si>
  <si>
    <t>Rescate aut 47501468 47501469 47501470 47501471, autorizo giro $417.788, para xray dol entrega unica- demás medicamentos entrega 1-3 para manejo del dolor derivado de medicina general del 04-11-2025</t>
  </si>
  <si>
    <t>Giro anticipado inter ida los patios cúcuta aut 47557576 terapia física 20 noviembre a las 14 pm cel 3134451598 apoyo silla ruedas rígida acompañante si valor 65 000</t>
  </si>
  <si>
    <t>Giro anticipado inter retorno cúcuta los patios aut 47359216 terapia física 20 noviembre a las pm cel 3134451598 apoyo silla de ruedas rígida acompañante si valor 65000</t>
  </si>
  <si>
    <t>Giro anticipado inter ida los patios cúcuta aut 47557576 terapia física 21 noviembre a las 14 pm cel 3134451598 apoyo silla ruedas rígida acompañante si valor 65 000</t>
  </si>
  <si>
    <t>Giro anticipado inter retorno cúcuta los patios aut 47359216 terapia fisica 21 noviembre a las pm cel 3134451598 apoyo silla de ruedas rígida acompañante si valor 65000</t>
  </si>
  <si>
    <t>Giro anticipado inter ida los patios cúcuta aut 47557576 terapia física 24 noviembre a las 14 pm cel 3134451598 apoyo silla ruedas rígida acompañante si valor 65 000</t>
  </si>
  <si>
    <t>Giro anticipado inter retorno cucuta los patios aut 47359216 terapia fisica 24 noviembre a las pm cel 3134451598 apoyo silla de ruedas rígida acompañante si valor 65000</t>
  </si>
  <si>
    <t>Giro anticipado inter ida los patios cúcuta aut 47557576 terapia fisica 25 noviembre a las 14 pm cel 3134451598 apoyo silla ruedas rígida acompañante si valor 65 000</t>
  </si>
  <si>
    <t>Giro anticipado inter retorno cucuta los patios aut 47359216 terapia fisica 25 noviembre a las pm cel 3134451598 apoyo silla de ruedas rígida acompañante si valor 65000</t>
  </si>
  <si>
    <t>Rescate aut 47532420, autorizo giro $75.863 para medicamento voltaren emulgel-1 g-tubo cant 1,para manejo de contusion de rodilla izquierda derivado de urgencias del 10/11/2025 unica entrega</t>
  </si>
  <si>
    <t>Se autoriza giro por monto $380.800 en drogas la rebaja para transtec® 35 mcg derivado de medicina del dolor de la fecha 05/11/2025 entrega unica, cambio de prov 47529773</t>
  </si>
  <si>
    <t>Autorizo giro $167.750 para tearsoft/5 mg-solucion y optifree puremoist solución desinfectante multipropositofrasco 300 ml con droguería colsubsidio entrega 1/3, de medicina general del 09/09/2025.</t>
  </si>
  <si>
    <t>Giro anticipado inter ida/ aut 47327085 t fisica fecha 24/11/2025 a las 13 origen zona bananera a cienaga 3014400978 soporte de apoyono acompañante no *25000 valo</t>
  </si>
  <si>
    <t>giro anticipado inter retorno / aut 47327085 t fisica fecha 24/11/2025 a las 15* origen cienaga zona bananera * 3014400978 soporte de apoyono acompañante no *25000 valor</t>
  </si>
  <si>
    <t>Giro anticipado inter ida zona bananera / santa marta nºaut 47451850 medicina dolor fecha cita 22/11/25-10:00am : fecha retorno 22/11/25-14:00 cel 313 5853372 apno aco no valor del trayecto 25.000</t>
  </si>
  <si>
    <t>Giro anticipado inter retorno santa marta /z- bananera 47451850 cuidados paliativos fecha cita 22/11/25 10:00 fecha retorno 22/11/25-14;00pm cel 313 5853372 ap no aco no valor del trayecto 25.000</t>
  </si>
  <si>
    <t>Rescate aut ,47396645,47396646 autorizo giro $476.531 para medicamentos, para manejo de dolor por at, derivado de fisiatría de la fecha 08-08-2025 entrega 3 de 3</t>
  </si>
  <si>
    <t>Rescate aut 47518086, 47518087, 47518088 se autoriza giro $513.858 para la compra de medicamentos, para manejo de dolor por at, derivado de medicina del dolor de la fecha 15-09-2025 entrega 2 de 3</t>
  </si>
  <si>
    <t>Se autoriza rescate aut 47463255, 47463256 giro $134.996 para la compra de medicamentos, para manejo de dolor por at, derivado de medicina general el 29-10-2025 entrega única</t>
  </si>
  <si>
    <t>Rescate aut 47539570 47528749,autorizo giro $324.566 para zerodol 200mg #30 y foz sport spray 200ml # 2, para manejo del dolor de su at, derivado de ortopedia de la fecha 07/11/2025, entrega única.</t>
  </si>
  <si>
    <t>Rescate aut 47496983,autorizo giro $135.950 para olonase spray nasal 0.6% # 1 para manejo síntomas de su at, derivado de otorrinolaringología de la fecha 29/09/2025, entrega única</t>
  </si>
  <si>
    <t>Giro anticipado ida tiquete inter zona bananera/santa marta aut 47455614 control en dolor y cuidados paliativos ida 24/1125 hora 07 00 cel 3113928429 ap: no ac si valor del giro por trayecto. 50 000</t>
  </si>
  <si>
    <t>Giro anticipado retorno tiquete inter santa marta/zona bananera aut 47455614 control cuidados paliativos retorno 24/1125 hora 12 00 cel 3113928429 ap: no ac si valor del giro por trayecto. 50 000</t>
  </si>
  <si>
    <t>Giro anticip tk interm ida argelia/popayan aut 43867901 ctrol protesico fecha 24 nov-25 hora 11 am f.ida 23 nov 2025 hora 10 am cel 3175148556 apoyo muletas acomp si*valor $110.000 pesos</t>
  </si>
  <si>
    <t>Giro anticip tk interm retorno popayan-argelia aut 43867901 ctrol protesico fecha 24 nov-25 hra 11 am f.retorno 24 nov 2025 hora 13 pm cel 3175148556 apoyo muletas acomp si*valor $110.000 pesos</t>
  </si>
  <si>
    <t>Giro anticipado interm ida z.bananera/ciénaga 47483213 terapia física fecha hora cita:22-11-2025/07:00 -ida:22-11-2025/04:00 cel:3136609883 apoyo:bastón acompañante:no valor por trayecto 25.000</t>
  </si>
  <si>
    <t>Giro anticipado interm retorno ciénaga/z.bananera 47483213 terapia física fecha hora cita: 22-11-2025/07:00 -retorno: 22-11-2025/10:00 cel:3136609883 apoyo:bastón acompañ:no valor por trayecto 25.000</t>
  </si>
  <si>
    <t>Giro anticipado interm ida z.bananera/ciénaga 47483213 terapia física fecha hora cita:24-11-2025/07:00 -ida:24-11-2025/04:00 cel:3136609883 apoyo:bastón acompañante:no valor por trayecto 25.000</t>
  </si>
  <si>
    <t>Giro anticipado interm retorno ciénaga/z.bananera 47483213 terapia física fecha hora cita:24-11-2025/07:00 -retorno:24-11-2025/10:00 cel:3136609883 apoyo:bastón acompañ:no valor por trayecto 25.000</t>
  </si>
  <si>
    <t>Giro anticipado intermunicipal ida z.bananera/ciénaga 47417786 terapia física fecha hora cita:28-11-2025/14:00 -ida:28-11-2025/12:00 cel:3023227961 apoyo:no acompañante:no valor de trayecto 25.000</t>
  </si>
  <si>
    <t>Giro anticipado intermunicipal retorno ciénaga/z.bananera 47417786 terapia física fecha cita:28-11-2025/14:00 -retorno:28-11-2025/17:00 cel:3023227961 apoyo:no acompañ:no valor de trayecto 25.000</t>
  </si>
  <si>
    <t>Giro anticipado amb local ida neiva/neiva 47352675 primera fisiatría fecha hora cita 27nov2025 11:00am hora ida 27 nov 2025 10:20am cel: 3125031351 apoyo: camilla acompañante: si. valor 90.000</t>
  </si>
  <si>
    <t>Giro anticipado amb local retorno neiva/neiva 47352675 primera vez fisiatría fecha hora cita 27 nov 2025 11:00am hora ida 27 nov 2025 13:30pm cel:3125031351 apoyo:camilla acompañante:si valor 90.000</t>
  </si>
  <si>
    <t>Autorizo giro por valor de 107.185 para compra de medicamento para manejo del dolor derivado de medicina general del 05/11/2025 entrega única bajo aval de cotización</t>
  </si>
  <si>
    <t>Se autoriza giro por monto $ 159.800 en droguería equilibrio para coquan® gotas-2.5 mg derivado de psiquiatria de la fecha 11/11/2025 entrega unica.</t>
  </si>
  <si>
    <t>Se autoriza cambio 47513883 giro anticipado para eszopiclona 3mg cant 28 entrega 1 de 2 manejo de esfera mental derivado de psiquiatría fecha 06/11/2025 por el valor de 238400 en droguería alemana</t>
  </si>
  <si>
    <t>Autorizo giro x $ 54.328+ domi $5.000 para microporeanchode 205x9cm cant 9 rollos, 1caja x $49.328 para ajuste derivado de dolor de 20/09/2025 entr 1,2 y de 3 en cumplimiento a fallo rescate 47156858</t>
  </si>
  <si>
    <t>Giro anticipado interm ida z.bananera/ciénaga 47483213 terapia física fecha hora cita:25-11-2025/07:00 -ida:25-11-2025/04:00 cel:3136609883 apoyo:bastón acompañante:no valor por trayecto 25.000</t>
  </si>
  <si>
    <t>giro anticipado interm retorno ciénaga/z.bananera 47483213 terapia física fecha hora cita:25-11-2025/07:00 -retorno:25-11-2025/10:00 cel:3136609883 apoyo:bastón acompañ:no valor por trayecto 25.000</t>
  </si>
  <si>
    <t>Giro anticipado interm ida z.bananera/ciénaga 47483213 terapia física fecha hora cita:26-11-2025/07:00 -ida:26-11-2025/04:00 cel:3136609883 apoyo:bastón acompañante:no valor por trayecto 25.000</t>
  </si>
  <si>
    <t>Giro anticipado interm retorno ciénaga/z.bananera 47483213 terapia física fecha hora cita:26-11-2025/07:00 -retorno:26-11-2025/10:00 cel:3136609883 apoyo:bastón acompañ:no valor por trayecto 25.000</t>
  </si>
  <si>
    <t>Giro anticipado interm ida z.bananera/ciénaga 47483213 terapia física fecha hora cita:27-11-2025/07:00 -ida:27-11-2025/04:00 cel:3136609883 apoyo:bastón acompañante:no valor por trayecto 25.000</t>
  </si>
  <si>
    <t>Giro anticipado interm retorno ciénaga/z.bananera 47483213 terapia física fecha hora cita:27-11-2025/07:00 -retorno:27-11-2025/10:00 cel:3136609883 apoyo:bastón acompañ:no valor por trayecto 25.000</t>
  </si>
  <si>
    <t>Giro anticipado ida tiquete inter zona bananera/ciénaga aut 47513461 terapias fecha hora cita 25/11/25 08:00 fecha hora ida 25/11/25 06:00 cel 3242238711 apoyo:no acomp no valor del giro 25000</t>
  </si>
  <si>
    <t>Giro anticipado retorno tiquete inter ciénaga/zona bananera aut 47513461 terapias fecha hora cita 25/11/25 08:00 fecha hora retorno 25/11/25 11:00 cel 3242238711 ap:no ac:no valor del giro 25000</t>
  </si>
  <si>
    <t>Giro anticipado ida tiquete inter zona bananera/ciénaga aut 47513461 terapias fecha hora cita 26/11/25 08:00 fecha hora ida 26/11/25 06:00 cel 3242238711 apoyo:no acomp no valor del giro 25000</t>
  </si>
  <si>
    <t>Giro anticipado retorno tiquete inter ciénaga/zona bananera aut 47513461 terapias fecha hora cita 26/11/25 08:00 fecha hora retorno 26/11/25 11:00 cel 3242238711 ap:no ac:no valor del giro 25000</t>
  </si>
  <si>
    <t>Giro anticipado ida tiquete inter zona bananera/ciénaga aut 47513461 terapias fecha hora cita 27/11/25 08:00 fecha hora ida 27/11/25 06:00 cel 3242238711 apoyo:no acomp no valor del giro 25000</t>
  </si>
  <si>
    <t>Giro anticipado retorno tiquete inter ciénaga/zona bananera aut 47513461 terapias fecha hora cita 27/11/25 08:00 fecha hora retorno 27/11/25 11:00 cel 3242238711 ap:no ac:no valor del giro 25000</t>
  </si>
  <si>
    <t>Giro anticipado ida tiquete inter zona bananera/ciénaga aut 47513461 terapias fecha hora cita 28/11/25 08:00 fecha hora ida 28/11/25 06:00 cel 3242238711 apoyo:no acomp no valor del giro 25000</t>
  </si>
  <si>
    <t>Giro anticipado retorno tiquete inter ciénaga/zona bananera aut 47513461 terapias fecha hora cita 28/11/25 08:00 fecha hora retorno 28/11/25 11:00 cel 3242238711 ap:no ac:no valor del giro 25000</t>
  </si>
  <si>
    <t>Giro anticipado ida tiquete inter zona bananera/ciénaga aut 47513461 terapias fecha hora cita 29/11/25 08:00 fecha hora ida 29/11/25 06:00 cel 3242238711 apoyo:no acomp no valor del giro 25000</t>
  </si>
  <si>
    <t>Giro anticipado retorno tiquete inter ciénaga/zona bananera aut 47513461 terapias fecha hora cita 29/11/25 08:00 fecha hora retorno 29/11/25 11:00 cel 3242238711 ap:no ac:no valor del giro 25000</t>
  </si>
  <si>
    <t>Giro anticipado interm ida z.bananera/ciénaga 47669170/47327086 t. física ocupa fecha hora cita:25-11-2025/09:00 -ida:25-11-2025/06:00 cel:3014400978 apoyo:no acompañante:no valor por trayecto 25.000</t>
  </si>
  <si>
    <t>Giro anticipado interm retorno ciénaga/z.bananera 47669170/47327086 t. física ocupa hora cita:25-11-2025/07:00 -retorno:25-11-2025/10:00 cel:3014400978 apoyo:no acompañ:no valor por trayecto 25.000</t>
  </si>
  <si>
    <t>Giro anticipado interm ida z.bananera/ciénaga 47669170/47327086 t. física ocupa fecha hora cita:26-11-2025/09:00 -ida:26-11-2025/06:00 cel:3014400978 apoyo:no acompañante:no valor por trayecto 25.000</t>
  </si>
  <si>
    <t>Giro anticipado interm retorno ciénaga/z.bananera 47669170/47327086 t. física ocupa fecha cita:26-11-2025/07:00 -retorno:26-11-2025/10:00 cel:3014400978 apoyo:no acompañ:no valor por trayecto 25.000</t>
  </si>
  <si>
    <t>Giro anticipado inter ida z/ bananera -cienaga 47604083 terapia fisica integral cita:25/11/25-09:00 ida:25/11/25-07:00 cel:3113333340 ap:si acom:no valor trayecto:25.000</t>
  </si>
  <si>
    <t>Giro anticipado inter retorno cienaga -z/ bananera 47604083 terapia fisica integral cita:25/11/2025-09:00-retorno:25/11/25-12:00 cel:3113333340 apo:si acom:no valor trayecto:25.000</t>
  </si>
  <si>
    <t>Giro anticipado inter ida z/ bananera -cienaga 47604083 terapia fisica integral cita:26/11/25-09:00 ida:26/11/25-07:00 cel:3113333340 ap:si acom:no valor trayecto:25.000</t>
  </si>
  <si>
    <t>Giro anticipado inter retorno cienaga -z/ bananera 47604083 terapia fisica integral cita:26/11/2025-09:00-retorno:26/11/25-12:00 cel:3113333340 apo:si acom:no valor trayecto:25.000</t>
  </si>
  <si>
    <t>Giro anticipado inter ida z/ bananera -cienaga 47604083 terapia fisica integral cita:27/11/25-09:00 ida:27/11/25-07:00 cel:3113333340 ap:si acom:no valor trayecto:25.000</t>
  </si>
  <si>
    <t>Giro anticipado inter retorno cienaga -z/ bananera 47604083 terapia fisica integral cita:27/11/2025-09:00-retorno:27/11/25-12:00 cel:3113333340 apo:si acom:no valor trayecto:25.000</t>
  </si>
  <si>
    <t>Giro anticipado inter ida z/ bananera -cienaga 47604083 terapia fisica integral cita:28/11/25-09:00 ida:28/11/25-07:00 cel:3113333340 ap:si acom:no valor trayecto:25.000</t>
  </si>
  <si>
    <t>Giro anticipado inter retorno cienaga -z/ bananera 47604083 terapia fisica integral cita:28/11/2025-09:00-retorno:28/11/25-12:00 cel:3113333340 apo:si acom:no valor trayecto:25.000</t>
  </si>
  <si>
    <t>Giro anticipado inter ida z/ bananera -cienaga 47604083 terapia fisica integral cita:29/11/25-09:00 ida:29/11/25-07:00 cel:3113333340 ap:si acom:no valor trayecto:25.000</t>
  </si>
  <si>
    <t>Giro anticipado inter retorno cienaga -z/ bananera 47604083 terapia fisica integral cita:29/11/2025-09:00-retorno:29/11/25-12:00 cel:3113333340 apo:si acom:no valor trayecto:25.000</t>
  </si>
  <si>
    <t>Se autoriza giro para otro tipo de servicio para compra de salicilato de metilo 12 g mentol 1g atletics x 200 ml aerosol # 2 entrega 2 /2 inoportunidad rescate de la aut 47598645 valor $121466</t>
  </si>
  <si>
    <t>Autorizo rescate de #47594150, giro para otro tipo de servicio por valor de 560.600 +dom, omega 3 de medico del dolor del 22/10/25 ,entrega 1,2 y 3,sumplemento, en cumplimiento a fallo</t>
  </si>
  <si>
    <t>Rescate autori # 47540399 por no entrega se autoriza giro para otro tipo de servicio compra de versatis® 5% parches entrega 1/6  costo 283578 para manejo de dolor de ep der de fisiatría 2025-11-10</t>
  </si>
  <si>
    <t>Se autoriza giro para otro tipo de servicio para realizar la compra de crema forz 60gr - entrega 2 de 3 costo del medicamento 64006 para manejo de dolor derivado de medicina general de 11092025</t>
  </si>
  <si>
    <t>Se autoriza rescate aut 47373354, 47373355 giro $368.950 para la compra de medicamentos, para manejo de dolor por at, derivado de otorrinolaringología del 29-09-2025 entrega única</t>
  </si>
  <si>
    <t>Giro anticipado local ida arauca arauca aut 47674088 47674042 electrocardiograma radiografía 26 noviembre a las 14 pm cel 3235856834 apoyo no acompañante no valor del giro 10000</t>
  </si>
  <si>
    <t>Giro anticipado local retorno arauca arauca aut 47674088 47674042 electrocardiograma radiografía 26 noviembre a las 15 pm cel 3235856834 apoyo no acompañante no valor del giro 10000</t>
  </si>
  <si>
    <t>Rescate aut 47486897, 474868985, autorizo giro $166.700 para medicamentos,para manejo de dolor por at, derivado de medicina general del 01-11-2025 entrega 1/2</t>
  </si>
  <si>
    <t>Giro anticipado interm ida z.bananera-ciénaga nº aut 47451740 t.ocupacional fecha 29/11/25 08am-fecha ida 29/11/25 05am cel 3023227961 apoyo no acomp no.valor 25000 por trayecto</t>
  </si>
  <si>
    <t>Giro anticipado interm retorno ciénaga-zona bananera nº aut 47451740 t.ocupacional fecha hora retorno 29/11/25 11am cel 3023227961 apoyo no acomp no.valor 25000 por trayecto</t>
  </si>
  <si>
    <t>Rescate aut 47638291 autorizo giro $290.700 para medicamento versatis® 5% parches para manejo de dolor por e.p derivado de fisiatría del 23-10-2025. entrega 1 de 3</t>
  </si>
  <si>
    <t>Rescate aut 47438222 47438223, autorizo giro $759.528 para medicamentos para manejo a síntomas de esfera mental derivados de la consulta de psiquiatría de la fecha 25-09-2025. entrega 2 de 6.</t>
  </si>
  <si>
    <t>Se autoriza rescate aut 47521998, 47521999, giro $82.800 para la compra de medicamentos, para manejo antinflamatorio contractura de los músculos derivado medicina general 31/10/2025 entrega única</t>
  </si>
  <si>
    <t>Rescate aut 47514482,47514481, autorizo giro $101.850 para medicamento para manejo a síntomas de esfera mental derivados de la consulta de psiquiatría de la fecha 07-11-2025. entrega única</t>
  </si>
  <si>
    <t>Se autoriza rescate aut 47568166, 47568167 giro $522.826 para la compra de los medicamentos, para manejo de dolor por ep, derivado de fisiatría del 11-11-2025. entrega 1 de 3</t>
  </si>
  <si>
    <t>Giro anticipado interm ida z.bananera/ciénaga 47483213 terapia física fecha hora cita:28-11-2025/07:00 -ida:28-11-2025/04:00 cel:3136609883 apoyo:bastón acompañante:no valor por trayecto 25.000</t>
  </si>
  <si>
    <t>Giro anticipado interm retorno ciénaga/z.bananera 47483213 terapia física fecha hora cita:28-11-2025/07:00 -retorno:28-11-2025/10:00 cel:3136609883 apoyo:bastón acompañ:no valor por trayecto 25.000</t>
  </si>
  <si>
    <t>Giro anticipado interm ida z.bananera/ciénaga 47483213 terapia física fecha hora cita:29-11-2025/07:00 -ida:29-11-2025/04:00 cel:3136609883 apoyo:bastón acompañante:no valor por trayecto 25.000</t>
  </si>
  <si>
    <t>Giro anticipado interm retorno ciénaga/z.bananera 47483213 terapia física fecha hora cita:29-11-2025/07:00 -retorno:29-11-2025/10:00 cel:3136609883 apoyo:bastón acompañ:no valor por trayecto 25.000</t>
  </si>
  <si>
    <t>Giro antic puerta puerta local ida bolívar/popayán aut47504818 cita fisiatría fecha hora cita 28nov25 10:15 fecha hora ida 28nov25 7am cel:3217629233 ap:silla de ruedas plegable ac:si. valor200.000</t>
  </si>
  <si>
    <t>Giro ant puerta puerta local retorno popayán/bolivar aut47504818 citafisiatría fecha hora cita28nov25 10:15 fecha hora retorno28nov25 12:00 cel:3217629233 ap:silla ruedas plegable ac:si. valor 200.000</t>
  </si>
  <si>
    <t>Se autoriza rescate aut 47517629-47517631, giro $312.660 para medicamento para manejo de dolor por e.p derivado de fisiatría del 03-10-2025. entrega 2 de 6</t>
  </si>
  <si>
    <t xml:space="preserve">	Se autoriza rescate de la aut: 47503714 giro $121.466 para medicamento para manejo del dolor por e.p, orden de medicina del dolor del 02-10-2025, entrega 2 de 3.</t>
  </si>
  <si>
    <t>Se autoriza giro anticipado, compra de betaduo®-5 mg + 2 mg, de medicina general de 09/11/2025, manejo de dolor, entrega única. cambio de auto 47527232. por $81.000 bajo aval de casa matriz a.v</t>
  </si>
  <si>
    <t>Se autoriza giro anticipado compra de sinalgen max 325 mg+10 mg manejo dolor derivado medicina del dolor 16/10/2025 entrega 1 de 3. cambio de auto 47514017. por $776.400 bajo aval de casa matriz a.v.</t>
  </si>
  <si>
    <t>Se autoriza giro por monto $496.800 para transtec® 35 mcg/ h-20 mg- parche cant 15 para manejo de secuelas derivado de neurocirugía de la fecha 13/11/2025 entrega única bajo aval</t>
  </si>
  <si>
    <t>Se autoriza giro por monto $593.000 en farmatodo para trittico a.c 150-150 mg derivado de psiquiatria de la fecha 29/oct/2025 entrega única, cambio de prov 47435009</t>
  </si>
  <si>
    <t>Se autoriza rescate aut 47499696, 47499697, 47499698 giro $147.250 para la compra de medicamentos para manejo de esfera mental, derivado de psiquiatría de la fecha 02-10-2025 entrega 2 de 2</t>
  </si>
  <si>
    <t>Se autoriza giro anticipado para compra medicamentos para manejo tratamiento derivado gastroenterología del 10/11/25 entrega única. por valor de $594.260 bajo aval de casa matriz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</si>
</sst>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2" formatCode="_-&quot;$&quot;\ * #,##0_-;\-&quot;$&quot;\ * #,##0_-;_-&quot;$&quot;\ * &quot;-&quot;_-;_-@_-"/>
    <numFmt numFmtId="164" formatCode="_-&quot;$&quot;\ * #,##0_-;\-&quot;$&quot;\ * #,##0_-;_-&quot;$&quot;\ * &quot;-&quot;??_-;_-@_-"/>
  </numFmts>
  <fonts count="12" x14ac:knownFonts="1">
    <font>
      <sz val="11"/>
      <color theme="1"/>
      <name val="Calibri"/>
      <family val="2"/>
      <scheme val="minor"/>
    </font>
    <font>
      <b/>
      <sz val="10"/>
      <color theme="1"/>
      <name val="Arial"/>
      <family val="2"/>
    </font>
    <font>
      <sz val="10"/>
      <color theme="1"/>
      <name val="Arial"/>
      <family val="2"/>
    </font>
    <font>
      <sz val="9"/>
      <color theme="1"/>
      <name val="Calibri"/>
      <family val="2"/>
    </font>
    <font>
      <sz val="11"/>
      <color theme="1"/>
      <name val="Calibri"/>
      <family val="2"/>
      <scheme val="minor"/>
    </font>
    <font>
      <b/>
      <sz val="8"/>
      <color rgb="FF000000"/>
      <name val="Calibri"/>
      <family val="2"/>
      <charset val="1"/>
    </font>
    <font>
      <sz val="10"/>
      <color rgb="FF000000"/>
      <name val="Times New Roman"/>
      <family val="1"/>
      <charset val="1"/>
    </font>
    <font>
      <sz val="11"/>
      <color rgb="FF000000"/>
      <name val="Calibri"/>
      <family val="2"/>
      <charset val="1"/>
    </font>
    <font>
      <sz val="8"/>
      <color theme="1"/>
      <name val="Arial"/>
      <family val="2"/>
    </font>
    <font>
      <sz val="8"/>
      <color rgb="FF000000"/>
      <name val="Arial"/>
      <family val="2"/>
    </font>
    <font>
      <b/>
      <sz val="11"/>
      <color theme="1"/>
      <name val="Calibri"/>
      <family val="2"/>
      <scheme val="minor"/>
    </font>
    <font>
      <sz val="8"/>
      <name val="Arial"/>
      <family val="2"/>
    </font>
  </fonts>
  <fills count="5">
    <fill>
      <patternFill patternType="none"/>
    </fill>
    <fill>
      <patternFill patternType="gray125"/>
    </fill>
    <fill>
      <patternFill patternType="solid">
        <fgColor theme="9" tint="0.39997558519241921"/>
        <bgColor indexed="64"/>
      </patternFill>
    </fill>
    <fill>
      <patternFill patternType="solid">
        <fgColor theme="9" tint="0.39997558519241921"/>
        <bgColor rgb="FF000000"/>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42" fontId="4" fillId="0" borderId="0" applyFont="0" applyFill="0" applyBorder="0" applyAlignment="0" applyProtection="0"/>
    <xf numFmtId="0" fontId="6" fillId="0" borderId="0"/>
    <xf numFmtId="0" fontId="7" fillId="0" borderId="0"/>
  </cellStyleXfs>
  <cellXfs count="33">
    <xf numFmtId="0" fontId="0" fillId="0" borderId="0" xfId="0"/>
    <xf numFmtId="0" fontId="1" fillId="0" borderId="0" xfId="0" applyFont="1"/>
    <xf numFmtId="0" fontId="2" fillId="0" borderId="0" xfId="0" applyFont="1"/>
    <xf numFmtId="14" fontId="2" fillId="0" borderId="0" xfId="0" applyNumberFormat="1" applyFont="1"/>
    <xf numFmtId="0" fontId="2" fillId="0" borderId="0" xfId="0" applyFont="1" applyAlignment="1">
      <alignment horizontal="center"/>
    </xf>
    <xf numFmtId="0" fontId="2" fillId="0" borderId="0" xfId="0" applyFont="1" applyAlignment="1">
      <alignment horizont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42" fontId="2" fillId="0" borderId="0" xfId="1" applyFont="1" applyAlignment="1">
      <alignment horizontal="center" vertical="center"/>
    </xf>
    <xf numFmtId="42" fontId="1" fillId="2" borderId="2" xfId="1" applyFont="1" applyFill="1" applyBorder="1" applyAlignment="1">
      <alignment horizontal="center" vertical="center" wrapText="1"/>
    </xf>
    <xf numFmtId="42" fontId="0" fillId="0" borderId="0" xfId="1" applyFont="1" applyAlignment="1">
      <alignment horizontal="center" vertical="center"/>
    </xf>
    <xf numFmtId="0" fontId="0" fillId="0" borderId="1" xfId="0" applyBorder="1"/>
    <xf numFmtId="49" fontId="5" fillId="0" borderId="3" xfId="0" applyNumberFormat="1" applyFont="1" applyBorder="1" applyAlignment="1">
      <alignment horizontal="center" vertical="center" wrapText="1"/>
    </xf>
    <xf numFmtId="49" fontId="5" fillId="0" borderId="4" xfId="2" applyNumberFormat="1" applyFont="1" applyBorder="1" applyAlignment="1" applyProtection="1">
      <alignment horizontal="center" vertical="center" wrapText="1"/>
      <protection locked="0"/>
    </xf>
    <xf numFmtId="0" fontId="0" fillId="0" borderId="2" xfId="0" applyBorder="1" applyAlignment="1">
      <alignment horizontal="center" vertical="center" wrapText="1"/>
    </xf>
    <xf numFmtId="0" fontId="0" fillId="0" borderId="5" xfId="0" applyBorder="1"/>
    <xf numFmtId="0" fontId="0" fillId="0" borderId="6" xfId="0" applyBorder="1" applyAlignment="1">
      <alignment horizontal="center" vertical="center" wrapText="1"/>
    </xf>
    <xf numFmtId="0" fontId="0" fillId="0" borderId="7" xfId="0" applyBorder="1"/>
    <xf numFmtId="0" fontId="7" fillId="0" borderId="2" xfId="3" applyBorder="1" applyAlignment="1">
      <alignment horizontal="center" vertical="center" wrapText="1"/>
    </xf>
    <xf numFmtId="0" fontId="7" fillId="0" borderId="5" xfId="3" applyBorder="1"/>
    <xf numFmtId="0" fontId="0" fillId="0" borderId="1" xfId="0" applyBorder="1" applyAlignment="1">
      <alignment horizontal="center" vertical="center"/>
    </xf>
    <xf numFmtId="164" fontId="8" fillId="4" borderId="1" xfId="0" applyNumberFormat="1" applyFont="1" applyFill="1" applyBorder="1" applyAlignment="1">
      <alignment horizontal="center" vertical="center" wrapText="1"/>
    </xf>
    <xf numFmtId="164" fontId="2" fillId="0" borderId="0" xfId="1" applyNumberFormat="1" applyFont="1" applyAlignment="1">
      <alignment horizontal="center" vertical="center"/>
    </xf>
    <xf numFmtId="0" fontId="1" fillId="0" borderId="0" xfId="0" applyFont="1" applyAlignment="1">
      <alignment horizontal="right"/>
    </xf>
    <xf numFmtId="14" fontId="9" fillId="0" borderId="1" xfId="0" applyNumberFormat="1" applyFont="1" applyBorder="1" applyAlignment="1">
      <alignment horizontal="center" vertical="center" wrapText="1"/>
    </xf>
    <xf numFmtId="14" fontId="9" fillId="4"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42" fontId="10" fillId="0" borderId="0" xfId="1" applyFont="1" applyAlignment="1">
      <alignment horizontal="center" vertical="center"/>
    </xf>
    <xf numFmtId="0" fontId="11" fillId="4" borderId="1" xfId="0" applyFont="1" applyFill="1" applyBorder="1" applyAlignment="1">
      <alignment horizontal="center" vertical="center" wrapText="1"/>
    </xf>
    <xf numFmtId="6" fontId="9" fillId="0" borderId="1" xfId="0" applyNumberFormat="1" applyFont="1" applyBorder="1" applyAlignment="1">
      <alignment horizontal="center" vertical="center" wrapText="1"/>
    </xf>
  </cellXfs>
  <cellStyles count="4">
    <cellStyle name="Moneda [0]" xfId="1" builtinId="7"/>
    <cellStyle name="Normal" xfId="0" builtinId="0"/>
    <cellStyle name="Normal 2 2" xfId="2" xr:uid="{E0C0374C-2205-4424-8F90-23C0C4F03DB8}"/>
    <cellStyle name="Normal 3 2" xfId="3" xr:uid="{58ECA46C-781C-477E-9EE8-D7F590F91434}"/>
  </cellStyles>
  <dxfs count="9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border diagonalUp="0" diagonalDown="0">
        <left style="thin">
          <color indexed="64"/>
        </left>
        <right/>
        <top style="thin">
          <color indexed="64"/>
        </top>
        <bottom style="thin">
          <color indexed="64"/>
        </bottom>
        <vertical/>
        <horizontal/>
      </border>
    </dxf>
    <dxf>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iego.mayordomo\Desktop\MACROS\CONSOLIDAR%20BAS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C%20HOME\OneDrive\Lucho\quala\ARCHIVO%20MAESTRO%20CIF%202019%20MIN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Importar"/>
    </sheetNames>
    <sheetDataSet>
      <sheetData sheetId="0"/>
      <sheetData sheetId="1">
        <row r="3">
          <cell r="C3" t="str">
            <v>Ruta Carpeta:</v>
          </cell>
        </row>
        <row r="4">
          <cell r="C4" t="str">
            <v>Q:\2.VIAJES Y RUTAS\VIAJES Y RUTAS PROVEEDOR  2023\11.NOVIEMBRE 2023</v>
          </cell>
        </row>
        <row r="5">
          <cell r="C5" t="str">
            <v>Incluir Subcarpetas:</v>
          </cell>
        </row>
        <row r="6">
          <cell r="C6" t="str">
            <v>SI</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eas"/>
      <sheetName val="Interfaz"/>
      <sheetName val="PERMISOS"/>
      <sheetName val="Matriz Generación"/>
      <sheetName val="Hoja2"/>
      <sheetName val="Hoja3"/>
      <sheetName val="CUENTAS"/>
      <sheetName val="CIF "/>
      <sheetName val="Resumen"/>
      <sheetName val="SEGUIMIENTO GASTOS "/>
      <sheetName val="COMPROMETIDO"/>
      <sheetName val="DATOS CIF"/>
      <sheetName val="ACTA_NEGOCIACION"/>
      <sheetName val="ACTA_FINALIZACION"/>
      <sheetName val="CORREO_SOLICITUD"/>
      <sheetName val="Hoja1"/>
      <sheetName val="CORREO_TIPO"/>
      <sheetName val="ANEXO_CUADRO_COMPARATIVO "/>
      <sheetName val="Base"/>
      <sheetName val="SEGUIMIENTO CIF T2-2018"/>
      <sheetName val="ARCHIVO MAESTRO CIF 2019 MINA"/>
    </sheetNames>
    <sheetDataSet>
      <sheetData sheetId="0" refreshError="1"/>
      <sheetData sheetId="1">
        <row r="3">
          <cell r="I3" t="str">
            <v>Admin</v>
          </cell>
        </row>
      </sheetData>
      <sheetData sheetId="2">
        <row r="7">
          <cell r="B7" t="str">
            <v>Planeador</v>
          </cell>
        </row>
        <row r="8">
          <cell r="B8" t="str">
            <v>Lider</v>
          </cell>
        </row>
        <row r="9">
          <cell r="B9" t="str">
            <v>Jefe</v>
          </cell>
        </row>
        <row r="10">
          <cell r="B10" t="str">
            <v>Admin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73E4BA-93A5-4C6C-96DF-36B0D55E6192}" name="Tabla4" displayName="Tabla4" ref="A1:B6" totalsRowShown="0" headerRowDxfId="90" headerRowBorderDxfId="89" tableBorderDxfId="88" totalsRowBorderDxfId="87">
  <tableColumns count="2">
    <tableColumn id="1" xr3:uid="{9E13A007-BA52-48EA-A1AD-8C407225BE50}" name="CÓDIGO DE LA PRESTACION PRINCIPAL INTERNO DEL PROVEEDOR  " dataDxfId="86"/>
    <tableColumn id="2" xr3:uid="{36BCFA39-135D-4298-BF03-E25665D5D31E}" name="DESCRIPCIÓN DEL PROCEDIMIENTO" dataDxfId="85"/>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D57C9-CF6A-4826-AA1B-BEF5B1EAF16D}">
  <sheetPr>
    <tabColor theme="5"/>
  </sheetPr>
  <dimension ref="A1:K463"/>
  <sheetViews>
    <sheetView showGridLines="0" tabSelected="1" workbookViewId="0">
      <selection activeCell="A2" sqref="A2"/>
    </sheetView>
  </sheetViews>
  <sheetFormatPr baseColWidth="10" defaultRowHeight="30.75" customHeight="1" x14ac:dyDescent="0.25"/>
  <cols>
    <col min="1" max="1" width="20.85546875" bestFit="1" customWidth="1"/>
    <col min="2" max="2" width="12.85546875" bestFit="1" customWidth="1"/>
    <col min="3" max="3" width="18.28515625" customWidth="1"/>
    <col min="4" max="4" width="12.42578125" bestFit="1" customWidth="1"/>
    <col min="5" max="5" width="24.85546875" bestFit="1" customWidth="1"/>
    <col min="6" max="6" width="43" bestFit="1" customWidth="1"/>
    <col min="7" max="8" width="22.5703125" style="12" customWidth="1"/>
    <col min="9" max="9" width="11.7109375" bestFit="1" customWidth="1"/>
    <col min="10" max="10" width="37.28515625" bestFit="1" customWidth="1"/>
    <col min="11" max="11" width="57.7109375" customWidth="1"/>
  </cols>
  <sheetData>
    <row r="1" spans="1:11" ht="30.75" customHeight="1" x14ac:dyDescent="0.25">
      <c r="A1" s="1" t="s">
        <v>42</v>
      </c>
      <c r="B1" s="2"/>
      <c r="C1" s="2"/>
      <c r="D1" s="3"/>
      <c r="E1" s="2"/>
      <c r="F1" s="2"/>
      <c r="G1" s="10"/>
      <c r="H1" s="10"/>
      <c r="I1" s="4"/>
      <c r="J1" s="4"/>
      <c r="K1" s="5"/>
    </row>
    <row r="2" spans="1:11" ht="30.75" customHeight="1" x14ac:dyDescent="0.25">
      <c r="A2" s="1" t="s">
        <v>43</v>
      </c>
      <c r="B2" s="2"/>
      <c r="C2" s="2"/>
      <c r="D2" s="3"/>
      <c r="E2" s="2"/>
      <c r="F2" s="25" t="s">
        <v>12</v>
      </c>
      <c r="G2" s="24">
        <f>SUM(G4:G462)</f>
        <v>39369689</v>
      </c>
      <c r="H2" s="24">
        <f>SUM(H4:H462)</f>
        <v>13779391.150000002</v>
      </c>
      <c r="I2" s="4"/>
      <c r="J2" s="4"/>
      <c r="K2" s="5"/>
    </row>
    <row r="3" spans="1:11" ht="30.75" customHeight="1" x14ac:dyDescent="0.25">
      <c r="A3" s="6" t="s">
        <v>0</v>
      </c>
      <c r="B3" s="7" t="s">
        <v>1</v>
      </c>
      <c r="C3" s="7" t="s">
        <v>2</v>
      </c>
      <c r="D3" s="8" t="s">
        <v>3</v>
      </c>
      <c r="E3" s="7" t="s">
        <v>4</v>
      </c>
      <c r="F3" s="7" t="s">
        <v>5</v>
      </c>
      <c r="G3" s="11" t="s">
        <v>22</v>
      </c>
      <c r="H3" s="11" t="s">
        <v>23</v>
      </c>
      <c r="I3" s="7" t="s">
        <v>6</v>
      </c>
      <c r="J3" s="7" t="s">
        <v>7</v>
      </c>
      <c r="K3" s="9" t="s">
        <v>8</v>
      </c>
    </row>
    <row r="4" spans="1:11" ht="30.75" customHeight="1" x14ac:dyDescent="0.25">
      <c r="A4" s="22" t="s">
        <v>44</v>
      </c>
      <c r="B4" s="28">
        <v>47340906</v>
      </c>
      <c r="C4" s="28">
        <v>47340912</v>
      </c>
      <c r="D4" s="26">
        <v>45954</v>
      </c>
      <c r="E4" s="29">
        <v>1128203527</v>
      </c>
      <c r="F4" s="28" t="s">
        <v>24</v>
      </c>
      <c r="G4" s="32">
        <v>25000</v>
      </c>
      <c r="H4" s="23">
        <f>+G4*35%</f>
        <v>8750</v>
      </c>
      <c r="I4" s="28" t="s">
        <v>9</v>
      </c>
      <c r="J4" s="13" t="s">
        <v>15</v>
      </c>
      <c r="K4" s="28" t="s">
        <v>132</v>
      </c>
    </row>
    <row r="5" spans="1:11" ht="30.75" customHeight="1" x14ac:dyDescent="0.25">
      <c r="A5" s="22" t="s">
        <v>44</v>
      </c>
      <c r="B5" s="28">
        <v>47340948</v>
      </c>
      <c r="C5" s="28">
        <v>47340951</v>
      </c>
      <c r="D5" s="26">
        <v>45954</v>
      </c>
      <c r="E5" s="29">
        <v>1128203527</v>
      </c>
      <c r="F5" s="28" t="s">
        <v>24</v>
      </c>
      <c r="G5" s="32">
        <v>25000</v>
      </c>
      <c r="H5" s="23">
        <f t="shared" ref="H5:H68" si="0">+G5*35%</f>
        <v>8750</v>
      </c>
      <c r="I5" s="28" t="s">
        <v>9</v>
      </c>
      <c r="J5" s="13" t="s">
        <v>15</v>
      </c>
      <c r="K5" s="28" t="s">
        <v>133</v>
      </c>
    </row>
    <row r="6" spans="1:11" ht="30.75" customHeight="1" x14ac:dyDescent="0.25">
      <c r="A6" s="22" t="s">
        <v>44</v>
      </c>
      <c r="B6" s="28">
        <v>47340996</v>
      </c>
      <c r="C6" s="28">
        <v>47341001</v>
      </c>
      <c r="D6" s="26">
        <v>45954</v>
      </c>
      <c r="E6" s="29">
        <v>1128203527</v>
      </c>
      <c r="F6" s="28" t="s">
        <v>24</v>
      </c>
      <c r="G6" s="32">
        <v>25000</v>
      </c>
      <c r="H6" s="23">
        <f t="shared" si="0"/>
        <v>8750</v>
      </c>
      <c r="I6" s="28" t="s">
        <v>9</v>
      </c>
      <c r="J6" s="13" t="s">
        <v>15</v>
      </c>
      <c r="K6" s="28" t="s">
        <v>134</v>
      </c>
    </row>
    <row r="7" spans="1:11" ht="30.75" customHeight="1" x14ac:dyDescent="0.25">
      <c r="A7" s="22" t="s">
        <v>44</v>
      </c>
      <c r="B7" s="28">
        <v>47341028</v>
      </c>
      <c r="C7" s="28">
        <v>47341031</v>
      </c>
      <c r="D7" s="26">
        <v>45954</v>
      </c>
      <c r="E7" s="29">
        <v>1128203527</v>
      </c>
      <c r="F7" s="28" t="s">
        <v>24</v>
      </c>
      <c r="G7" s="32">
        <v>25000</v>
      </c>
      <c r="H7" s="23">
        <f t="shared" si="0"/>
        <v>8750</v>
      </c>
      <c r="I7" s="28" t="s">
        <v>9</v>
      </c>
      <c r="J7" s="13" t="s">
        <v>15</v>
      </c>
      <c r="K7" s="28" t="s">
        <v>135</v>
      </c>
    </row>
    <row r="8" spans="1:11" ht="30.75" customHeight="1" x14ac:dyDescent="0.25">
      <c r="A8" s="22" t="s">
        <v>44</v>
      </c>
      <c r="B8" s="28">
        <v>47408464</v>
      </c>
      <c r="C8" s="28">
        <v>47408466</v>
      </c>
      <c r="D8" s="26">
        <v>45960</v>
      </c>
      <c r="E8" s="29">
        <v>12618216</v>
      </c>
      <c r="F8" s="28" t="s">
        <v>27</v>
      </c>
      <c r="G8" s="32">
        <v>25000</v>
      </c>
      <c r="H8" s="23">
        <f t="shared" si="0"/>
        <v>8750</v>
      </c>
      <c r="I8" s="28" t="s">
        <v>9</v>
      </c>
      <c r="J8" s="13" t="s">
        <v>15</v>
      </c>
      <c r="K8" s="28" t="s">
        <v>136</v>
      </c>
    </row>
    <row r="9" spans="1:11" ht="30.75" customHeight="1" x14ac:dyDescent="0.25">
      <c r="A9" s="22" t="s">
        <v>44</v>
      </c>
      <c r="B9" s="28">
        <v>47408469</v>
      </c>
      <c r="C9" s="28">
        <v>47408473</v>
      </c>
      <c r="D9" s="26">
        <v>45960</v>
      </c>
      <c r="E9" s="29">
        <v>12618216</v>
      </c>
      <c r="F9" s="28" t="s">
        <v>27</v>
      </c>
      <c r="G9" s="32">
        <v>25000</v>
      </c>
      <c r="H9" s="23">
        <f t="shared" si="0"/>
        <v>8750</v>
      </c>
      <c r="I9" s="28" t="s">
        <v>9</v>
      </c>
      <c r="J9" s="13" t="s">
        <v>15</v>
      </c>
      <c r="K9" s="28" t="s">
        <v>137</v>
      </c>
    </row>
    <row r="10" spans="1:11" ht="30.75" customHeight="1" x14ac:dyDescent="0.25">
      <c r="A10" s="22" t="s">
        <v>44</v>
      </c>
      <c r="B10" s="28">
        <v>47341766</v>
      </c>
      <c r="C10" s="28">
        <v>47341768</v>
      </c>
      <c r="D10" s="26">
        <v>45954</v>
      </c>
      <c r="E10" s="29">
        <v>12618216</v>
      </c>
      <c r="F10" s="28" t="s">
        <v>27</v>
      </c>
      <c r="G10" s="32">
        <v>25000</v>
      </c>
      <c r="H10" s="23">
        <f t="shared" si="0"/>
        <v>8750</v>
      </c>
      <c r="I10" s="28" t="s">
        <v>9</v>
      </c>
      <c r="J10" s="13" t="s">
        <v>15</v>
      </c>
      <c r="K10" s="28" t="s">
        <v>138</v>
      </c>
    </row>
    <row r="11" spans="1:11" ht="30.75" customHeight="1" x14ac:dyDescent="0.25">
      <c r="A11" s="22" t="s">
        <v>44</v>
      </c>
      <c r="B11" s="28">
        <v>47341800</v>
      </c>
      <c r="C11" s="28">
        <v>47341821</v>
      </c>
      <c r="D11" s="26">
        <v>45954</v>
      </c>
      <c r="E11" s="29">
        <v>12618216</v>
      </c>
      <c r="F11" s="28" t="s">
        <v>27</v>
      </c>
      <c r="G11" s="32">
        <v>25000</v>
      </c>
      <c r="H11" s="23">
        <f t="shared" si="0"/>
        <v>8750</v>
      </c>
      <c r="I11" s="28" t="s">
        <v>9</v>
      </c>
      <c r="J11" s="13" t="s">
        <v>15</v>
      </c>
      <c r="K11" s="28" t="s">
        <v>139</v>
      </c>
    </row>
    <row r="12" spans="1:11" ht="30.75" customHeight="1" x14ac:dyDescent="0.25">
      <c r="A12" s="22" t="s">
        <v>44</v>
      </c>
      <c r="B12" s="28">
        <v>47341843</v>
      </c>
      <c r="C12" s="28">
        <v>47341854</v>
      </c>
      <c r="D12" s="26">
        <v>45954</v>
      </c>
      <c r="E12" s="29">
        <v>12618216</v>
      </c>
      <c r="F12" s="28" t="s">
        <v>27</v>
      </c>
      <c r="G12" s="32">
        <v>25000</v>
      </c>
      <c r="H12" s="23">
        <f t="shared" si="0"/>
        <v>8750</v>
      </c>
      <c r="I12" s="28" t="s">
        <v>9</v>
      </c>
      <c r="J12" s="13" t="s">
        <v>15</v>
      </c>
      <c r="K12" s="28" t="s">
        <v>140</v>
      </c>
    </row>
    <row r="13" spans="1:11" ht="30.75" customHeight="1" x14ac:dyDescent="0.25">
      <c r="A13" s="22" t="s">
        <v>44</v>
      </c>
      <c r="B13" s="28">
        <v>47341874</v>
      </c>
      <c r="C13" s="28">
        <v>47341880</v>
      </c>
      <c r="D13" s="26">
        <v>45954</v>
      </c>
      <c r="E13" s="29">
        <v>12618216</v>
      </c>
      <c r="F13" s="28" t="s">
        <v>27</v>
      </c>
      <c r="G13" s="32">
        <v>25000</v>
      </c>
      <c r="H13" s="23">
        <f t="shared" si="0"/>
        <v>8750</v>
      </c>
      <c r="I13" s="28" t="s">
        <v>9</v>
      </c>
      <c r="J13" s="13" t="s">
        <v>15</v>
      </c>
      <c r="K13" s="28" t="s">
        <v>141</v>
      </c>
    </row>
    <row r="14" spans="1:11" ht="30.75" customHeight="1" x14ac:dyDescent="0.25">
      <c r="A14" s="22" t="s">
        <v>44</v>
      </c>
      <c r="B14" s="28">
        <v>47341918</v>
      </c>
      <c r="C14" s="28">
        <v>47341931</v>
      </c>
      <c r="D14" s="26">
        <v>45954</v>
      </c>
      <c r="E14" s="29">
        <v>12618216</v>
      </c>
      <c r="F14" s="28" t="s">
        <v>27</v>
      </c>
      <c r="G14" s="32">
        <v>25000</v>
      </c>
      <c r="H14" s="23">
        <f t="shared" si="0"/>
        <v>8750</v>
      </c>
      <c r="I14" s="28" t="s">
        <v>9</v>
      </c>
      <c r="J14" s="13" t="s">
        <v>15</v>
      </c>
      <c r="K14" s="28" t="s">
        <v>142</v>
      </c>
    </row>
    <row r="15" spans="1:11" ht="30.75" customHeight="1" x14ac:dyDescent="0.25">
      <c r="A15" s="22" t="s">
        <v>44</v>
      </c>
      <c r="B15" s="28">
        <v>47341940</v>
      </c>
      <c r="C15" s="28">
        <v>47341952</v>
      </c>
      <c r="D15" s="26">
        <v>45954</v>
      </c>
      <c r="E15" s="29">
        <v>12618216</v>
      </c>
      <c r="F15" s="28" t="s">
        <v>27</v>
      </c>
      <c r="G15" s="32">
        <v>25000</v>
      </c>
      <c r="H15" s="23">
        <f t="shared" si="0"/>
        <v>8750</v>
      </c>
      <c r="I15" s="28" t="s">
        <v>9</v>
      </c>
      <c r="J15" s="13" t="s">
        <v>15</v>
      </c>
      <c r="K15" s="28" t="s">
        <v>143</v>
      </c>
    </row>
    <row r="16" spans="1:11" ht="30.75" customHeight="1" x14ac:dyDescent="0.25">
      <c r="A16" s="22" t="s">
        <v>44</v>
      </c>
      <c r="B16" s="28">
        <v>47366267</v>
      </c>
      <c r="C16" s="28">
        <v>47366270</v>
      </c>
      <c r="D16" s="26">
        <v>45957</v>
      </c>
      <c r="E16" s="29">
        <v>12631995</v>
      </c>
      <c r="F16" s="28" t="s">
        <v>32</v>
      </c>
      <c r="G16" s="32">
        <v>50000</v>
      </c>
      <c r="H16" s="23">
        <f t="shared" si="0"/>
        <v>17500</v>
      </c>
      <c r="I16" s="28" t="s">
        <v>10</v>
      </c>
      <c r="J16" s="13" t="s">
        <v>26</v>
      </c>
      <c r="K16" s="28" t="s">
        <v>144</v>
      </c>
    </row>
    <row r="17" spans="1:11" ht="30.75" customHeight="1" x14ac:dyDescent="0.25">
      <c r="A17" s="22" t="s">
        <v>44</v>
      </c>
      <c r="B17" s="28">
        <v>47366268</v>
      </c>
      <c r="C17" s="28">
        <v>47366272</v>
      </c>
      <c r="D17" s="26">
        <v>45957</v>
      </c>
      <c r="E17" s="29">
        <v>12631995</v>
      </c>
      <c r="F17" s="28" t="s">
        <v>32</v>
      </c>
      <c r="G17" s="32">
        <v>50000</v>
      </c>
      <c r="H17" s="23">
        <f t="shared" si="0"/>
        <v>17500</v>
      </c>
      <c r="I17" s="28" t="s">
        <v>10</v>
      </c>
      <c r="J17" s="13" t="s">
        <v>26</v>
      </c>
      <c r="K17" s="28" t="s">
        <v>145</v>
      </c>
    </row>
    <row r="18" spans="1:11" ht="30.75" customHeight="1" x14ac:dyDescent="0.25">
      <c r="A18" s="22" t="s">
        <v>44</v>
      </c>
      <c r="B18" s="28">
        <v>46821166</v>
      </c>
      <c r="C18" s="28">
        <v>46821259</v>
      </c>
      <c r="D18" s="26">
        <v>45908</v>
      </c>
      <c r="E18" s="29">
        <v>15532697</v>
      </c>
      <c r="F18" s="28" t="s">
        <v>45</v>
      </c>
      <c r="G18" s="32">
        <v>700000</v>
      </c>
      <c r="H18" s="23">
        <f t="shared" si="0"/>
        <v>244999.99999999997</v>
      </c>
      <c r="I18" s="28" t="s">
        <v>10</v>
      </c>
      <c r="J18" s="13" t="s">
        <v>26</v>
      </c>
      <c r="K18" s="28" t="s">
        <v>146</v>
      </c>
    </row>
    <row r="19" spans="1:11" ht="30.75" customHeight="1" x14ac:dyDescent="0.25">
      <c r="A19" s="22" t="s">
        <v>44</v>
      </c>
      <c r="B19" s="28">
        <v>46821184</v>
      </c>
      <c r="C19" s="28">
        <v>46821285</v>
      </c>
      <c r="D19" s="26">
        <v>45908</v>
      </c>
      <c r="E19" s="29">
        <v>15532697</v>
      </c>
      <c r="F19" s="28" t="s">
        <v>45</v>
      </c>
      <c r="G19" s="32">
        <v>700000</v>
      </c>
      <c r="H19" s="23">
        <f t="shared" si="0"/>
        <v>244999.99999999997</v>
      </c>
      <c r="I19" s="28" t="s">
        <v>10</v>
      </c>
      <c r="J19" s="13" t="s">
        <v>26</v>
      </c>
      <c r="K19" s="28" t="s">
        <v>147</v>
      </c>
    </row>
    <row r="20" spans="1:11" ht="30.75" customHeight="1" x14ac:dyDescent="0.25">
      <c r="A20" s="22" t="s">
        <v>44</v>
      </c>
      <c r="B20" s="28">
        <v>47379967</v>
      </c>
      <c r="C20" s="28">
        <v>47379974</v>
      </c>
      <c r="D20" s="26">
        <v>45958</v>
      </c>
      <c r="E20" s="29">
        <v>88225757</v>
      </c>
      <c r="F20" s="28" t="s">
        <v>46</v>
      </c>
      <c r="G20" s="32">
        <v>65000</v>
      </c>
      <c r="H20" s="23">
        <f t="shared" si="0"/>
        <v>22750</v>
      </c>
      <c r="I20" s="28" t="s">
        <v>10</v>
      </c>
      <c r="J20" s="13" t="s">
        <v>26</v>
      </c>
      <c r="K20" s="28" t="s">
        <v>148</v>
      </c>
    </row>
    <row r="21" spans="1:11" ht="30.75" customHeight="1" x14ac:dyDescent="0.25">
      <c r="A21" s="22" t="s">
        <v>44</v>
      </c>
      <c r="B21" s="28">
        <v>47379972</v>
      </c>
      <c r="C21" s="28">
        <v>47379981</v>
      </c>
      <c r="D21" s="26">
        <v>45958</v>
      </c>
      <c r="E21" s="29">
        <v>88225757</v>
      </c>
      <c r="F21" s="28" t="s">
        <v>46</v>
      </c>
      <c r="G21" s="32">
        <v>65000</v>
      </c>
      <c r="H21" s="23">
        <f t="shared" si="0"/>
        <v>22750</v>
      </c>
      <c r="I21" s="28" t="s">
        <v>10</v>
      </c>
      <c r="J21" s="13" t="s">
        <v>26</v>
      </c>
      <c r="K21" s="28" t="s">
        <v>149</v>
      </c>
    </row>
    <row r="22" spans="1:11" ht="30.75" customHeight="1" x14ac:dyDescent="0.25">
      <c r="A22" s="22" t="s">
        <v>44</v>
      </c>
      <c r="B22" s="28">
        <v>47379643</v>
      </c>
      <c r="C22" s="28">
        <v>47379653</v>
      </c>
      <c r="D22" s="26">
        <v>45958</v>
      </c>
      <c r="E22" s="29">
        <v>88225757</v>
      </c>
      <c r="F22" s="28" t="s">
        <v>46</v>
      </c>
      <c r="G22" s="32">
        <v>65000</v>
      </c>
      <c r="H22" s="23">
        <f t="shared" si="0"/>
        <v>22750</v>
      </c>
      <c r="I22" s="28" t="s">
        <v>10</v>
      </c>
      <c r="J22" s="13" t="s">
        <v>26</v>
      </c>
      <c r="K22" s="28" t="s">
        <v>150</v>
      </c>
    </row>
    <row r="23" spans="1:11" ht="30.75" customHeight="1" x14ac:dyDescent="0.25">
      <c r="A23" s="22" t="s">
        <v>44</v>
      </c>
      <c r="B23" s="28">
        <v>47379648</v>
      </c>
      <c r="C23" s="28">
        <v>47379687</v>
      </c>
      <c r="D23" s="26">
        <v>45958</v>
      </c>
      <c r="E23" s="29">
        <v>88225757</v>
      </c>
      <c r="F23" s="28" t="s">
        <v>46</v>
      </c>
      <c r="G23" s="32">
        <v>65000</v>
      </c>
      <c r="H23" s="23">
        <f t="shared" si="0"/>
        <v>22750</v>
      </c>
      <c r="I23" s="28" t="s">
        <v>10</v>
      </c>
      <c r="J23" s="13" t="s">
        <v>26</v>
      </c>
      <c r="K23" s="28" t="s">
        <v>151</v>
      </c>
    </row>
    <row r="24" spans="1:11" ht="30.75" customHeight="1" x14ac:dyDescent="0.25">
      <c r="A24" s="22" t="s">
        <v>44</v>
      </c>
      <c r="B24" s="28">
        <v>47379703</v>
      </c>
      <c r="C24" s="28">
        <v>47379718</v>
      </c>
      <c r="D24" s="26">
        <v>45958</v>
      </c>
      <c r="E24" s="29">
        <v>88225757</v>
      </c>
      <c r="F24" s="28" t="s">
        <v>46</v>
      </c>
      <c r="G24" s="32">
        <v>65000</v>
      </c>
      <c r="H24" s="23">
        <f t="shared" si="0"/>
        <v>22750</v>
      </c>
      <c r="I24" s="28" t="s">
        <v>10</v>
      </c>
      <c r="J24" s="13" t="s">
        <v>26</v>
      </c>
      <c r="K24" s="28" t="s">
        <v>152</v>
      </c>
    </row>
    <row r="25" spans="1:11" ht="30.75" customHeight="1" x14ac:dyDescent="0.25">
      <c r="A25" s="22" t="s">
        <v>44</v>
      </c>
      <c r="B25" s="28">
        <v>47379711</v>
      </c>
      <c r="C25" s="28">
        <v>47379726</v>
      </c>
      <c r="D25" s="26">
        <v>45958</v>
      </c>
      <c r="E25" s="29">
        <v>88225757</v>
      </c>
      <c r="F25" s="28" t="s">
        <v>46</v>
      </c>
      <c r="G25" s="32">
        <v>65000</v>
      </c>
      <c r="H25" s="23">
        <f t="shared" si="0"/>
        <v>22750</v>
      </c>
      <c r="I25" s="28" t="s">
        <v>10</v>
      </c>
      <c r="J25" s="13" t="s">
        <v>26</v>
      </c>
      <c r="K25" s="28" t="s">
        <v>153</v>
      </c>
    </row>
    <row r="26" spans="1:11" ht="30.75" customHeight="1" x14ac:dyDescent="0.25">
      <c r="A26" s="22" t="s">
        <v>44</v>
      </c>
      <c r="B26" s="28">
        <v>47379519</v>
      </c>
      <c r="C26" s="28">
        <v>47379533</v>
      </c>
      <c r="D26" s="26">
        <v>45958</v>
      </c>
      <c r="E26" s="29">
        <v>88225757</v>
      </c>
      <c r="F26" s="28" t="s">
        <v>46</v>
      </c>
      <c r="G26" s="32">
        <v>65000</v>
      </c>
      <c r="H26" s="23">
        <f t="shared" si="0"/>
        <v>22750</v>
      </c>
      <c r="I26" s="28" t="s">
        <v>10</v>
      </c>
      <c r="J26" s="13" t="s">
        <v>26</v>
      </c>
      <c r="K26" s="28" t="s">
        <v>154</v>
      </c>
    </row>
    <row r="27" spans="1:11" ht="30.75" customHeight="1" x14ac:dyDescent="0.25">
      <c r="A27" s="22" t="s">
        <v>44</v>
      </c>
      <c r="B27" s="28">
        <v>47379525</v>
      </c>
      <c r="C27" s="28">
        <v>47379547</v>
      </c>
      <c r="D27" s="26">
        <v>45958</v>
      </c>
      <c r="E27" s="29">
        <v>88225757</v>
      </c>
      <c r="F27" s="28" t="s">
        <v>46</v>
      </c>
      <c r="G27" s="32">
        <v>65000</v>
      </c>
      <c r="H27" s="23">
        <f t="shared" si="0"/>
        <v>22750</v>
      </c>
      <c r="I27" s="28" t="s">
        <v>10</v>
      </c>
      <c r="J27" s="13" t="s">
        <v>26</v>
      </c>
      <c r="K27" s="28" t="s">
        <v>155</v>
      </c>
    </row>
    <row r="28" spans="1:11" ht="30.75" customHeight="1" x14ac:dyDescent="0.25">
      <c r="A28" s="22" t="s">
        <v>44</v>
      </c>
      <c r="B28" s="28">
        <v>47379842</v>
      </c>
      <c r="C28" s="28">
        <v>47379857</v>
      </c>
      <c r="D28" s="26">
        <v>45958</v>
      </c>
      <c r="E28" s="29">
        <v>88225757</v>
      </c>
      <c r="F28" s="28" t="s">
        <v>46</v>
      </c>
      <c r="G28" s="32">
        <v>65000</v>
      </c>
      <c r="H28" s="23">
        <f t="shared" si="0"/>
        <v>22750</v>
      </c>
      <c r="I28" s="28" t="s">
        <v>10</v>
      </c>
      <c r="J28" s="13" t="s">
        <v>26</v>
      </c>
      <c r="K28" s="28" t="s">
        <v>156</v>
      </c>
    </row>
    <row r="29" spans="1:11" ht="30.75" customHeight="1" x14ac:dyDescent="0.25">
      <c r="A29" s="22" t="s">
        <v>44</v>
      </c>
      <c r="B29" s="28">
        <v>47379850</v>
      </c>
      <c r="C29" s="28">
        <v>47379862</v>
      </c>
      <c r="D29" s="26">
        <v>45958</v>
      </c>
      <c r="E29" s="29">
        <v>88225757</v>
      </c>
      <c r="F29" s="28" t="s">
        <v>46</v>
      </c>
      <c r="G29" s="32">
        <v>65000</v>
      </c>
      <c r="H29" s="23">
        <f t="shared" si="0"/>
        <v>22750</v>
      </c>
      <c r="I29" s="28" t="s">
        <v>10</v>
      </c>
      <c r="J29" s="13" t="s">
        <v>26</v>
      </c>
      <c r="K29" s="28" t="s">
        <v>157</v>
      </c>
    </row>
    <row r="30" spans="1:11" ht="30.75" customHeight="1" x14ac:dyDescent="0.25">
      <c r="A30" s="22" t="s">
        <v>44</v>
      </c>
      <c r="B30" s="28">
        <v>47379875</v>
      </c>
      <c r="C30" s="28">
        <v>47379883</v>
      </c>
      <c r="D30" s="26">
        <v>45958</v>
      </c>
      <c r="E30" s="29">
        <v>88225757</v>
      </c>
      <c r="F30" s="28" t="s">
        <v>46</v>
      </c>
      <c r="G30" s="32">
        <v>65000</v>
      </c>
      <c r="H30" s="23">
        <f t="shared" si="0"/>
        <v>22750</v>
      </c>
      <c r="I30" s="28" t="s">
        <v>10</v>
      </c>
      <c r="J30" s="13" t="s">
        <v>26</v>
      </c>
      <c r="K30" s="28" t="s">
        <v>158</v>
      </c>
    </row>
    <row r="31" spans="1:11" ht="30.75" customHeight="1" x14ac:dyDescent="0.25">
      <c r="A31" s="22" t="s">
        <v>44</v>
      </c>
      <c r="B31" s="28">
        <v>47379881</v>
      </c>
      <c r="C31" s="28">
        <v>47379886</v>
      </c>
      <c r="D31" s="26">
        <v>45958</v>
      </c>
      <c r="E31" s="29">
        <v>88225757</v>
      </c>
      <c r="F31" s="28" t="s">
        <v>46</v>
      </c>
      <c r="G31" s="32">
        <v>65000</v>
      </c>
      <c r="H31" s="23">
        <f t="shared" si="0"/>
        <v>22750</v>
      </c>
      <c r="I31" s="28" t="s">
        <v>10</v>
      </c>
      <c r="J31" s="13" t="s">
        <v>26</v>
      </c>
      <c r="K31" s="28" t="s">
        <v>159</v>
      </c>
    </row>
    <row r="32" spans="1:11" ht="30.75" customHeight="1" x14ac:dyDescent="0.25">
      <c r="A32" s="22" t="s">
        <v>44</v>
      </c>
      <c r="B32" s="28">
        <v>47379893</v>
      </c>
      <c r="C32" s="28">
        <v>47379901</v>
      </c>
      <c r="D32" s="26">
        <v>45958</v>
      </c>
      <c r="E32" s="29">
        <v>88225757</v>
      </c>
      <c r="F32" s="28" t="s">
        <v>46</v>
      </c>
      <c r="G32" s="32">
        <v>65000</v>
      </c>
      <c r="H32" s="23">
        <f t="shared" si="0"/>
        <v>22750</v>
      </c>
      <c r="I32" s="28" t="s">
        <v>10</v>
      </c>
      <c r="J32" s="13" t="s">
        <v>26</v>
      </c>
      <c r="K32" s="28" t="s">
        <v>160</v>
      </c>
    </row>
    <row r="33" spans="1:11" ht="30.75" customHeight="1" x14ac:dyDescent="0.25">
      <c r="A33" s="22" t="s">
        <v>44</v>
      </c>
      <c r="B33" s="28">
        <v>47379896</v>
      </c>
      <c r="C33" s="28">
        <v>47379909</v>
      </c>
      <c r="D33" s="26">
        <v>45958</v>
      </c>
      <c r="E33" s="29">
        <v>88225757</v>
      </c>
      <c r="F33" s="28" t="s">
        <v>46</v>
      </c>
      <c r="G33" s="32">
        <v>65000</v>
      </c>
      <c r="H33" s="23">
        <f t="shared" si="0"/>
        <v>22750</v>
      </c>
      <c r="I33" s="28" t="s">
        <v>10</v>
      </c>
      <c r="J33" s="13" t="s">
        <v>26</v>
      </c>
      <c r="K33" s="28" t="s">
        <v>161</v>
      </c>
    </row>
    <row r="34" spans="1:11" ht="30.75" customHeight="1" x14ac:dyDescent="0.25">
      <c r="A34" s="22" t="s">
        <v>44</v>
      </c>
      <c r="B34" s="28">
        <v>47379917</v>
      </c>
      <c r="C34" s="28">
        <v>47379926</v>
      </c>
      <c r="D34" s="26">
        <v>45958</v>
      </c>
      <c r="E34" s="29">
        <v>88225757</v>
      </c>
      <c r="F34" s="28" t="s">
        <v>46</v>
      </c>
      <c r="G34" s="32">
        <v>65000</v>
      </c>
      <c r="H34" s="23">
        <f t="shared" si="0"/>
        <v>22750</v>
      </c>
      <c r="I34" s="28" t="s">
        <v>10</v>
      </c>
      <c r="J34" s="13" t="s">
        <v>26</v>
      </c>
      <c r="K34" s="28" t="s">
        <v>162</v>
      </c>
    </row>
    <row r="35" spans="1:11" ht="30.75" customHeight="1" x14ac:dyDescent="0.25">
      <c r="A35" s="22" t="s">
        <v>44</v>
      </c>
      <c r="B35" s="28">
        <v>47379919</v>
      </c>
      <c r="C35" s="28">
        <v>47379930</v>
      </c>
      <c r="D35" s="26">
        <v>45958</v>
      </c>
      <c r="E35" s="29">
        <v>88225757</v>
      </c>
      <c r="F35" s="28" t="s">
        <v>46</v>
      </c>
      <c r="G35" s="32">
        <v>65000</v>
      </c>
      <c r="H35" s="23">
        <f t="shared" si="0"/>
        <v>22750</v>
      </c>
      <c r="I35" s="28" t="s">
        <v>10</v>
      </c>
      <c r="J35" s="13" t="s">
        <v>26</v>
      </c>
      <c r="K35" s="28" t="s">
        <v>163</v>
      </c>
    </row>
    <row r="36" spans="1:11" ht="30.75" customHeight="1" x14ac:dyDescent="0.25">
      <c r="A36" s="22" t="s">
        <v>44</v>
      </c>
      <c r="B36" s="28">
        <v>47366441</v>
      </c>
      <c r="C36" s="28">
        <v>47366452</v>
      </c>
      <c r="D36" s="26">
        <v>45958</v>
      </c>
      <c r="E36" s="29">
        <v>12631995</v>
      </c>
      <c r="F36" s="28" t="s">
        <v>32</v>
      </c>
      <c r="G36" s="32">
        <v>50000</v>
      </c>
      <c r="H36" s="23">
        <f t="shared" si="0"/>
        <v>17500</v>
      </c>
      <c r="I36" s="28" t="s">
        <v>10</v>
      </c>
      <c r="J36" s="13" t="s">
        <v>26</v>
      </c>
      <c r="K36" s="28" t="s">
        <v>164</v>
      </c>
    </row>
    <row r="37" spans="1:11" ht="30.75" customHeight="1" x14ac:dyDescent="0.25">
      <c r="A37" s="22" t="s">
        <v>44</v>
      </c>
      <c r="B37" s="28">
        <v>47366453</v>
      </c>
      <c r="C37" s="28">
        <v>47366460</v>
      </c>
      <c r="D37" s="26">
        <v>45958</v>
      </c>
      <c r="E37" s="29">
        <v>12631995</v>
      </c>
      <c r="F37" s="28" t="s">
        <v>32</v>
      </c>
      <c r="G37" s="32">
        <v>50000</v>
      </c>
      <c r="H37" s="23">
        <f t="shared" si="0"/>
        <v>17500</v>
      </c>
      <c r="I37" s="28" t="s">
        <v>10</v>
      </c>
      <c r="J37" s="13" t="s">
        <v>26</v>
      </c>
      <c r="K37" s="28" t="s">
        <v>165</v>
      </c>
    </row>
    <row r="38" spans="1:11" ht="30.75" customHeight="1" x14ac:dyDescent="0.25">
      <c r="A38" s="22" t="s">
        <v>44</v>
      </c>
      <c r="B38" s="28">
        <v>47366490</v>
      </c>
      <c r="C38" s="28">
        <v>47366552</v>
      </c>
      <c r="D38" s="26">
        <v>45958</v>
      </c>
      <c r="E38" s="29">
        <v>12631995</v>
      </c>
      <c r="F38" s="28" t="s">
        <v>32</v>
      </c>
      <c r="G38" s="32">
        <v>50000</v>
      </c>
      <c r="H38" s="23">
        <f t="shared" si="0"/>
        <v>17500</v>
      </c>
      <c r="I38" s="28" t="s">
        <v>10</v>
      </c>
      <c r="J38" s="13" t="s">
        <v>26</v>
      </c>
      <c r="K38" s="28" t="s">
        <v>166</v>
      </c>
    </row>
    <row r="39" spans="1:11" ht="30.75" customHeight="1" x14ac:dyDescent="0.25">
      <c r="A39" s="22" t="s">
        <v>44</v>
      </c>
      <c r="B39" s="28">
        <v>47366555</v>
      </c>
      <c r="C39" s="28">
        <v>47366589</v>
      </c>
      <c r="D39" s="26">
        <v>45958</v>
      </c>
      <c r="E39" s="29">
        <v>12631995</v>
      </c>
      <c r="F39" s="28" t="s">
        <v>32</v>
      </c>
      <c r="G39" s="32">
        <v>50000</v>
      </c>
      <c r="H39" s="23">
        <f t="shared" si="0"/>
        <v>17500</v>
      </c>
      <c r="I39" s="28" t="s">
        <v>10</v>
      </c>
      <c r="J39" s="13" t="s">
        <v>26</v>
      </c>
      <c r="K39" s="28" t="s">
        <v>167</v>
      </c>
    </row>
    <row r="40" spans="1:11" ht="30.75" customHeight="1" x14ac:dyDescent="0.25">
      <c r="A40" s="22" t="s">
        <v>44</v>
      </c>
      <c r="B40" s="28">
        <v>47366618</v>
      </c>
      <c r="C40" s="28">
        <v>47366643</v>
      </c>
      <c r="D40" s="26">
        <v>45958</v>
      </c>
      <c r="E40" s="29">
        <v>12631995</v>
      </c>
      <c r="F40" s="28" t="s">
        <v>32</v>
      </c>
      <c r="G40" s="32">
        <v>50000</v>
      </c>
      <c r="H40" s="23">
        <f t="shared" si="0"/>
        <v>17500</v>
      </c>
      <c r="I40" s="28" t="s">
        <v>10</v>
      </c>
      <c r="J40" s="13" t="s">
        <v>26</v>
      </c>
      <c r="K40" s="28" t="s">
        <v>168</v>
      </c>
    </row>
    <row r="41" spans="1:11" ht="30.75" customHeight="1" x14ac:dyDescent="0.25">
      <c r="A41" s="22" t="s">
        <v>44</v>
      </c>
      <c r="B41" s="28">
        <v>47366650</v>
      </c>
      <c r="C41" s="28">
        <v>47366685</v>
      </c>
      <c r="D41" s="26">
        <v>45958</v>
      </c>
      <c r="E41" s="29">
        <v>12631995</v>
      </c>
      <c r="F41" s="28" t="s">
        <v>32</v>
      </c>
      <c r="G41" s="32">
        <v>50000</v>
      </c>
      <c r="H41" s="23">
        <f t="shared" si="0"/>
        <v>17500</v>
      </c>
      <c r="I41" s="28" t="s">
        <v>10</v>
      </c>
      <c r="J41" s="13" t="s">
        <v>26</v>
      </c>
      <c r="K41" s="28" t="s">
        <v>169</v>
      </c>
    </row>
    <row r="42" spans="1:11" ht="30.75" customHeight="1" x14ac:dyDescent="0.25">
      <c r="A42" s="22" t="s">
        <v>44</v>
      </c>
      <c r="B42" s="28">
        <v>47366719</v>
      </c>
      <c r="C42" s="28">
        <v>47366801</v>
      </c>
      <c r="D42" s="26">
        <v>45958</v>
      </c>
      <c r="E42" s="29">
        <v>12631995</v>
      </c>
      <c r="F42" s="28" t="s">
        <v>32</v>
      </c>
      <c r="G42" s="32">
        <v>50000</v>
      </c>
      <c r="H42" s="23">
        <f t="shared" si="0"/>
        <v>17500</v>
      </c>
      <c r="I42" s="28" t="s">
        <v>10</v>
      </c>
      <c r="J42" s="13" t="s">
        <v>26</v>
      </c>
      <c r="K42" s="28" t="s">
        <v>170</v>
      </c>
    </row>
    <row r="43" spans="1:11" ht="30.75" customHeight="1" x14ac:dyDescent="0.25">
      <c r="A43" s="22" t="s">
        <v>44</v>
      </c>
      <c r="B43" s="28">
        <v>47366812</v>
      </c>
      <c r="C43" s="28">
        <v>47366820</v>
      </c>
      <c r="D43" s="26">
        <v>45958</v>
      </c>
      <c r="E43" s="29">
        <v>12631995</v>
      </c>
      <c r="F43" s="28" t="s">
        <v>32</v>
      </c>
      <c r="G43" s="32">
        <v>50000</v>
      </c>
      <c r="H43" s="23">
        <f t="shared" si="0"/>
        <v>17500</v>
      </c>
      <c r="I43" s="28" t="s">
        <v>10</v>
      </c>
      <c r="J43" s="13" t="s">
        <v>26</v>
      </c>
      <c r="K43" s="28" t="s">
        <v>171</v>
      </c>
    </row>
    <row r="44" spans="1:11" ht="30.75" customHeight="1" x14ac:dyDescent="0.25">
      <c r="A44" s="22" t="s">
        <v>44</v>
      </c>
      <c r="B44" s="28">
        <v>47373322</v>
      </c>
      <c r="C44" s="28">
        <v>47373398</v>
      </c>
      <c r="D44" s="26">
        <v>45958</v>
      </c>
      <c r="E44" s="29">
        <v>12631995</v>
      </c>
      <c r="F44" s="28" t="s">
        <v>32</v>
      </c>
      <c r="G44" s="32">
        <v>50000</v>
      </c>
      <c r="H44" s="23">
        <f t="shared" si="0"/>
        <v>17500</v>
      </c>
      <c r="I44" s="28" t="s">
        <v>10</v>
      </c>
      <c r="J44" s="13" t="s">
        <v>26</v>
      </c>
      <c r="K44" s="28" t="s">
        <v>172</v>
      </c>
    </row>
    <row r="45" spans="1:11" ht="30.75" customHeight="1" x14ac:dyDescent="0.25">
      <c r="A45" s="22" t="s">
        <v>44</v>
      </c>
      <c r="B45" s="28">
        <v>47373407</v>
      </c>
      <c r="C45" s="28">
        <v>47373432</v>
      </c>
      <c r="D45" s="26">
        <v>45958</v>
      </c>
      <c r="E45" s="29">
        <v>12631995</v>
      </c>
      <c r="F45" s="28" t="s">
        <v>32</v>
      </c>
      <c r="G45" s="32">
        <v>50000</v>
      </c>
      <c r="H45" s="23">
        <f t="shared" si="0"/>
        <v>17500</v>
      </c>
      <c r="I45" s="28" t="s">
        <v>10</v>
      </c>
      <c r="J45" s="13" t="s">
        <v>26</v>
      </c>
      <c r="K45" s="28" t="s">
        <v>173</v>
      </c>
    </row>
    <row r="46" spans="1:11" ht="30.75" customHeight="1" x14ac:dyDescent="0.25">
      <c r="A46" s="22" t="s">
        <v>44</v>
      </c>
      <c r="B46" s="28">
        <v>47373492</v>
      </c>
      <c r="C46" s="28">
        <v>47373531</v>
      </c>
      <c r="D46" s="26">
        <v>45958</v>
      </c>
      <c r="E46" s="29">
        <v>12631995</v>
      </c>
      <c r="F46" s="28" t="s">
        <v>32</v>
      </c>
      <c r="G46" s="32">
        <v>50000</v>
      </c>
      <c r="H46" s="23">
        <f t="shared" si="0"/>
        <v>17500</v>
      </c>
      <c r="I46" s="28" t="s">
        <v>10</v>
      </c>
      <c r="J46" s="13" t="s">
        <v>26</v>
      </c>
      <c r="K46" s="28" t="s">
        <v>174</v>
      </c>
    </row>
    <row r="47" spans="1:11" ht="30.75" customHeight="1" x14ac:dyDescent="0.25">
      <c r="A47" s="22" t="s">
        <v>44</v>
      </c>
      <c r="B47" s="28">
        <v>47373577</v>
      </c>
      <c r="C47" s="28">
        <v>47373603</v>
      </c>
      <c r="D47" s="26">
        <v>45958</v>
      </c>
      <c r="E47" s="29">
        <v>12631995</v>
      </c>
      <c r="F47" s="28" t="s">
        <v>32</v>
      </c>
      <c r="G47" s="32">
        <v>50000</v>
      </c>
      <c r="H47" s="23">
        <f t="shared" si="0"/>
        <v>17500</v>
      </c>
      <c r="I47" s="28" t="s">
        <v>10</v>
      </c>
      <c r="J47" s="13" t="s">
        <v>26</v>
      </c>
      <c r="K47" s="28" t="s">
        <v>175</v>
      </c>
    </row>
    <row r="48" spans="1:11" ht="30.75" customHeight="1" x14ac:dyDescent="0.25">
      <c r="A48" s="22" t="s">
        <v>44</v>
      </c>
      <c r="B48" s="28">
        <v>47373772</v>
      </c>
      <c r="C48" s="28">
        <v>47373824</v>
      </c>
      <c r="D48" s="26">
        <v>45958</v>
      </c>
      <c r="E48" s="29">
        <v>12631995</v>
      </c>
      <c r="F48" s="28" t="s">
        <v>32</v>
      </c>
      <c r="G48" s="32">
        <v>50000</v>
      </c>
      <c r="H48" s="23">
        <f t="shared" si="0"/>
        <v>17500</v>
      </c>
      <c r="I48" s="28" t="s">
        <v>10</v>
      </c>
      <c r="J48" s="13" t="s">
        <v>26</v>
      </c>
      <c r="K48" s="28" t="s">
        <v>176</v>
      </c>
    </row>
    <row r="49" spans="1:11" ht="30.75" customHeight="1" x14ac:dyDescent="0.25">
      <c r="A49" s="22" t="s">
        <v>44</v>
      </c>
      <c r="B49" s="28">
        <v>47373856</v>
      </c>
      <c r="C49" s="28">
        <v>47373877</v>
      </c>
      <c r="D49" s="26">
        <v>45958</v>
      </c>
      <c r="E49" s="29">
        <v>12631995</v>
      </c>
      <c r="F49" s="28" t="s">
        <v>32</v>
      </c>
      <c r="G49" s="32">
        <v>50000</v>
      </c>
      <c r="H49" s="23">
        <f t="shared" si="0"/>
        <v>17500</v>
      </c>
      <c r="I49" s="28" t="s">
        <v>10</v>
      </c>
      <c r="J49" s="13" t="s">
        <v>26</v>
      </c>
      <c r="K49" s="28" t="s">
        <v>177</v>
      </c>
    </row>
    <row r="50" spans="1:11" ht="30.75" customHeight="1" x14ac:dyDescent="0.25">
      <c r="A50" s="22" t="s">
        <v>44</v>
      </c>
      <c r="B50" s="28">
        <v>47374112</v>
      </c>
      <c r="C50" s="28">
        <v>47374122</v>
      </c>
      <c r="D50" s="26">
        <v>45958</v>
      </c>
      <c r="E50" s="29">
        <v>12631995</v>
      </c>
      <c r="F50" s="28" t="s">
        <v>32</v>
      </c>
      <c r="G50" s="32">
        <v>50000</v>
      </c>
      <c r="H50" s="23">
        <f t="shared" si="0"/>
        <v>17500</v>
      </c>
      <c r="I50" s="28" t="s">
        <v>10</v>
      </c>
      <c r="J50" s="13" t="s">
        <v>26</v>
      </c>
      <c r="K50" s="28" t="s">
        <v>178</v>
      </c>
    </row>
    <row r="51" spans="1:11" ht="30.75" customHeight="1" x14ac:dyDescent="0.25">
      <c r="A51" s="22" t="s">
        <v>44</v>
      </c>
      <c r="B51" s="28">
        <v>47374187</v>
      </c>
      <c r="C51" s="28">
        <v>47374552</v>
      </c>
      <c r="D51" s="26">
        <v>45958</v>
      </c>
      <c r="E51" s="29">
        <v>12631995</v>
      </c>
      <c r="F51" s="28" t="s">
        <v>32</v>
      </c>
      <c r="G51" s="32">
        <v>50000</v>
      </c>
      <c r="H51" s="23">
        <f t="shared" si="0"/>
        <v>17500</v>
      </c>
      <c r="I51" s="28" t="s">
        <v>10</v>
      </c>
      <c r="J51" s="13" t="s">
        <v>26</v>
      </c>
      <c r="K51" s="28" t="s">
        <v>179</v>
      </c>
    </row>
    <row r="52" spans="1:11" ht="30.75" customHeight="1" x14ac:dyDescent="0.25">
      <c r="A52" s="22" t="s">
        <v>44</v>
      </c>
      <c r="B52" s="28">
        <v>47374595</v>
      </c>
      <c r="C52" s="28">
        <v>47374690</v>
      </c>
      <c r="D52" s="26">
        <v>45958</v>
      </c>
      <c r="E52" s="29">
        <v>12631995</v>
      </c>
      <c r="F52" s="28" t="s">
        <v>32</v>
      </c>
      <c r="G52" s="32">
        <v>50000</v>
      </c>
      <c r="H52" s="23">
        <f t="shared" si="0"/>
        <v>17500</v>
      </c>
      <c r="I52" s="28" t="s">
        <v>10</v>
      </c>
      <c r="J52" s="13" t="s">
        <v>26</v>
      </c>
      <c r="K52" s="28" t="s">
        <v>180</v>
      </c>
    </row>
    <row r="53" spans="1:11" ht="30.75" customHeight="1" x14ac:dyDescent="0.25">
      <c r="A53" s="22" t="s">
        <v>44</v>
      </c>
      <c r="B53" s="28">
        <v>47374725</v>
      </c>
      <c r="C53" s="28">
        <v>47374735</v>
      </c>
      <c r="D53" s="26">
        <v>45958</v>
      </c>
      <c r="E53" s="29">
        <v>12631995</v>
      </c>
      <c r="F53" s="28" t="s">
        <v>32</v>
      </c>
      <c r="G53" s="32">
        <v>50000</v>
      </c>
      <c r="H53" s="23">
        <f t="shared" si="0"/>
        <v>17500</v>
      </c>
      <c r="I53" s="28" t="s">
        <v>10</v>
      </c>
      <c r="J53" s="13" t="s">
        <v>26</v>
      </c>
      <c r="K53" s="28" t="s">
        <v>181</v>
      </c>
    </row>
    <row r="54" spans="1:11" ht="30.75" customHeight="1" x14ac:dyDescent="0.25">
      <c r="A54" s="22" t="s">
        <v>44</v>
      </c>
      <c r="B54" s="28">
        <v>47368163</v>
      </c>
      <c r="C54" s="28">
        <v>47368196</v>
      </c>
      <c r="D54" s="26">
        <v>45958</v>
      </c>
      <c r="E54" s="29">
        <v>1083452666</v>
      </c>
      <c r="F54" s="28" t="s">
        <v>47</v>
      </c>
      <c r="G54" s="32">
        <v>25000</v>
      </c>
      <c r="H54" s="23">
        <f t="shared" si="0"/>
        <v>8750</v>
      </c>
      <c r="I54" s="28" t="s">
        <v>9</v>
      </c>
      <c r="J54" s="13" t="s">
        <v>15</v>
      </c>
      <c r="K54" s="28" t="s">
        <v>182</v>
      </c>
    </row>
    <row r="55" spans="1:11" ht="30.75" customHeight="1" x14ac:dyDescent="0.25">
      <c r="A55" s="22" t="s">
        <v>44</v>
      </c>
      <c r="B55" s="28">
        <v>47386349</v>
      </c>
      <c r="C55" s="28">
        <v>47386384</v>
      </c>
      <c r="D55" s="26">
        <v>45958</v>
      </c>
      <c r="E55" s="29">
        <v>1083452666</v>
      </c>
      <c r="F55" s="28" t="s">
        <v>47</v>
      </c>
      <c r="G55" s="32">
        <v>25000</v>
      </c>
      <c r="H55" s="23">
        <f t="shared" si="0"/>
        <v>8750</v>
      </c>
      <c r="I55" s="28" t="s">
        <v>9</v>
      </c>
      <c r="J55" s="13" t="s">
        <v>15</v>
      </c>
      <c r="K55" s="28" t="s">
        <v>183</v>
      </c>
    </row>
    <row r="56" spans="1:11" ht="30.75" customHeight="1" x14ac:dyDescent="0.25">
      <c r="A56" s="22" t="s">
        <v>44</v>
      </c>
      <c r="B56" s="28">
        <v>47368306</v>
      </c>
      <c r="C56" s="28">
        <v>47368326</v>
      </c>
      <c r="D56" s="26">
        <v>45958</v>
      </c>
      <c r="E56" s="29">
        <v>1083452666</v>
      </c>
      <c r="F56" s="28" t="s">
        <v>47</v>
      </c>
      <c r="G56" s="32">
        <v>25000</v>
      </c>
      <c r="H56" s="23">
        <f t="shared" si="0"/>
        <v>8750</v>
      </c>
      <c r="I56" s="28" t="s">
        <v>9</v>
      </c>
      <c r="J56" s="13" t="s">
        <v>15</v>
      </c>
      <c r="K56" s="28" t="s">
        <v>184</v>
      </c>
    </row>
    <row r="57" spans="1:11" ht="30.75" customHeight="1" x14ac:dyDescent="0.25">
      <c r="A57" s="22" t="s">
        <v>44</v>
      </c>
      <c r="B57" s="28">
        <v>47368375</v>
      </c>
      <c r="C57" s="28">
        <v>47368391</v>
      </c>
      <c r="D57" s="26">
        <v>45958</v>
      </c>
      <c r="E57" s="29">
        <v>1083452666</v>
      </c>
      <c r="F57" s="28" t="s">
        <v>47</v>
      </c>
      <c r="G57" s="32">
        <v>25000</v>
      </c>
      <c r="H57" s="23">
        <f t="shared" si="0"/>
        <v>8750</v>
      </c>
      <c r="I57" s="28" t="s">
        <v>9</v>
      </c>
      <c r="J57" s="13" t="s">
        <v>15</v>
      </c>
      <c r="K57" s="28" t="s">
        <v>185</v>
      </c>
    </row>
    <row r="58" spans="1:11" ht="30.75" customHeight="1" x14ac:dyDescent="0.25">
      <c r="A58" s="22" t="s">
        <v>44</v>
      </c>
      <c r="B58" s="28">
        <v>47368442</v>
      </c>
      <c r="C58" s="28">
        <v>47368457</v>
      </c>
      <c r="D58" s="26">
        <v>45958</v>
      </c>
      <c r="E58" s="29">
        <v>1083452666</v>
      </c>
      <c r="F58" s="28" t="s">
        <v>47</v>
      </c>
      <c r="G58" s="32">
        <v>25000</v>
      </c>
      <c r="H58" s="23">
        <f t="shared" si="0"/>
        <v>8750</v>
      </c>
      <c r="I58" s="28" t="s">
        <v>9</v>
      </c>
      <c r="J58" s="13" t="s">
        <v>15</v>
      </c>
      <c r="K58" s="28" t="s">
        <v>186</v>
      </c>
    </row>
    <row r="59" spans="1:11" ht="30.75" customHeight="1" x14ac:dyDescent="0.25">
      <c r="A59" s="22" t="s">
        <v>44</v>
      </c>
      <c r="B59" s="28">
        <v>47368504</v>
      </c>
      <c r="C59" s="28">
        <v>47368533</v>
      </c>
      <c r="D59" s="26">
        <v>45958</v>
      </c>
      <c r="E59" s="29">
        <v>1083452666</v>
      </c>
      <c r="F59" s="28" t="s">
        <v>47</v>
      </c>
      <c r="G59" s="32">
        <v>25000</v>
      </c>
      <c r="H59" s="23">
        <f t="shared" si="0"/>
        <v>8750</v>
      </c>
      <c r="I59" s="28" t="s">
        <v>9</v>
      </c>
      <c r="J59" s="13" t="s">
        <v>15</v>
      </c>
      <c r="K59" s="28" t="s">
        <v>187</v>
      </c>
    </row>
    <row r="60" spans="1:11" ht="30.75" customHeight="1" x14ac:dyDescent="0.25">
      <c r="A60" s="22" t="s">
        <v>44</v>
      </c>
      <c r="B60" s="28">
        <v>47370374</v>
      </c>
      <c r="C60" s="28">
        <v>47370405</v>
      </c>
      <c r="D60" s="26">
        <v>45958</v>
      </c>
      <c r="E60" s="29">
        <v>1083452666</v>
      </c>
      <c r="F60" s="28" t="s">
        <v>47</v>
      </c>
      <c r="G60" s="32">
        <v>25000</v>
      </c>
      <c r="H60" s="23">
        <f t="shared" si="0"/>
        <v>8750</v>
      </c>
      <c r="I60" s="28" t="s">
        <v>9</v>
      </c>
      <c r="J60" s="13" t="s">
        <v>15</v>
      </c>
      <c r="K60" s="28" t="s">
        <v>188</v>
      </c>
    </row>
    <row r="61" spans="1:11" ht="30.75" customHeight="1" x14ac:dyDescent="0.25">
      <c r="A61" s="22" t="s">
        <v>44</v>
      </c>
      <c r="B61" s="28">
        <v>47370440</v>
      </c>
      <c r="C61" s="28">
        <v>47370464</v>
      </c>
      <c r="D61" s="26">
        <v>45958</v>
      </c>
      <c r="E61" s="29">
        <v>1083452666</v>
      </c>
      <c r="F61" s="28" t="s">
        <v>47</v>
      </c>
      <c r="G61" s="32">
        <v>25000</v>
      </c>
      <c r="H61" s="23">
        <f t="shared" si="0"/>
        <v>8750</v>
      </c>
      <c r="I61" s="28" t="s">
        <v>9</v>
      </c>
      <c r="J61" s="13" t="s">
        <v>15</v>
      </c>
      <c r="K61" s="28" t="s">
        <v>189</v>
      </c>
    </row>
    <row r="62" spans="1:11" ht="30.75" customHeight="1" x14ac:dyDescent="0.25">
      <c r="A62" s="22" t="s">
        <v>44</v>
      </c>
      <c r="B62" s="28">
        <v>47370496</v>
      </c>
      <c r="C62" s="28">
        <v>47370523</v>
      </c>
      <c r="D62" s="26">
        <v>45958</v>
      </c>
      <c r="E62" s="29">
        <v>1083452666</v>
      </c>
      <c r="F62" s="28" t="s">
        <v>47</v>
      </c>
      <c r="G62" s="32">
        <v>25000</v>
      </c>
      <c r="H62" s="23">
        <f t="shared" si="0"/>
        <v>8750</v>
      </c>
      <c r="I62" s="28" t="s">
        <v>9</v>
      </c>
      <c r="J62" s="13" t="s">
        <v>15</v>
      </c>
      <c r="K62" s="28" t="s">
        <v>190</v>
      </c>
    </row>
    <row r="63" spans="1:11" ht="30.75" customHeight="1" x14ac:dyDescent="0.25">
      <c r="A63" s="22" t="s">
        <v>44</v>
      </c>
      <c r="B63" s="28">
        <v>47370572</v>
      </c>
      <c r="C63" s="28">
        <v>47370588</v>
      </c>
      <c r="D63" s="26">
        <v>45958</v>
      </c>
      <c r="E63" s="29">
        <v>1083452666</v>
      </c>
      <c r="F63" s="28" t="s">
        <v>47</v>
      </c>
      <c r="G63" s="32">
        <v>25000</v>
      </c>
      <c r="H63" s="23">
        <f t="shared" si="0"/>
        <v>8750</v>
      </c>
      <c r="I63" s="28" t="s">
        <v>9</v>
      </c>
      <c r="J63" s="13" t="s">
        <v>15</v>
      </c>
      <c r="K63" s="28" t="s">
        <v>191</v>
      </c>
    </row>
    <row r="64" spans="1:11" ht="30.75" customHeight="1" x14ac:dyDescent="0.25">
      <c r="A64" s="22" t="s">
        <v>44</v>
      </c>
      <c r="B64" s="28">
        <v>47370712</v>
      </c>
      <c r="C64" s="28">
        <v>47370731</v>
      </c>
      <c r="D64" s="26">
        <v>45958</v>
      </c>
      <c r="E64" s="29">
        <v>1083452666</v>
      </c>
      <c r="F64" s="28" t="s">
        <v>47</v>
      </c>
      <c r="G64" s="32">
        <v>25000</v>
      </c>
      <c r="H64" s="23">
        <f t="shared" si="0"/>
        <v>8750</v>
      </c>
      <c r="I64" s="28" t="s">
        <v>9</v>
      </c>
      <c r="J64" s="13" t="s">
        <v>15</v>
      </c>
      <c r="K64" s="28" t="s">
        <v>192</v>
      </c>
    </row>
    <row r="65" spans="1:11" ht="30.75" customHeight="1" x14ac:dyDescent="0.25">
      <c r="A65" s="22" t="s">
        <v>44</v>
      </c>
      <c r="B65" s="28">
        <v>47370779</v>
      </c>
      <c r="C65" s="28">
        <v>47370794</v>
      </c>
      <c r="D65" s="26">
        <v>45958</v>
      </c>
      <c r="E65" s="29">
        <v>1083452666</v>
      </c>
      <c r="F65" s="28" t="s">
        <v>47</v>
      </c>
      <c r="G65" s="32">
        <v>25000</v>
      </c>
      <c r="H65" s="23">
        <f t="shared" si="0"/>
        <v>8750</v>
      </c>
      <c r="I65" s="28" t="s">
        <v>9</v>
      </c>
      <c r="J65" s="13" t="s">
        <v>15</v>
      </c>
      <c r="K65" s="28" t="s">
        <v>193</v>
      </c>
    </row>
    <row r="66" spans="1:11" ht="30.75" customHeight="1" x14ac:dyDescent="0.25">
      <c r="A66" s="22" t="s">
        <v>44</v>
      </c>
      <c r="B66" s="28">
        <v>47371575</v>
      </c>
      <c r="C66" s="28">
        <v>47371613</v>
      </c>
      <c r="D66" s="26">
        <v>45958</v>
      </c>
      <c r="E66" s="29">
        <v>1083452666</v>
      </c>
      <c r="F66" s="28" t="s">
        <v>47</v>
      </c>
      <c r="G66" s="32">
        <v>25000</v>
      </c>
      <c r="H66" s="23">
        <f t="shared" si="0"/>
        <v>8750</v>
      </c>
      <c r="I66" s="28" t="s">
        <v>9</v>
      </c>
      <c r="J66" s="13" t="s">
        <v>15</v>
      </c>
      <c r="K66" s="28" t="s">
        <v>194</v>
      </c>
    </row>
    <row r="67" spans="1:11" ht="30.75" customHeight="1" x14ac:dyDescent="0.25">
      <c r="A67" s="22" t="s">
        <v>44</v>
      </c>
      <c r="B67" s="28">
        <v>47371734</v>
      </c>
      <c r="C67" s="28">
        <v>47371808</v>
      </c>
      <c r="D67" s="26">
        <v>45958</v>
      </c>
      <c r="E67" s="29">
        <v>1083452666</v>
      </c>
      <c r="F67" s="28" t="s">
        <v>47</v>
      </c>
      <c r="G67" s="32">
        <v>25000</v>
      </c>
      <c r="H67" s="23">
        <f t="shared" si="0"/>
        <v>8750</v>
      </c>
      <c r="I67" s="28" t="s">
        <v>9</v>
      </c>
      <c r="J67" s="13" t="s">
        <v>15</v>
      </c>
      <c r="K67" s="28" t="s">
        <v>195</v>
      </c>
    </row>
    <row r="68" spans="1:11" ht="30.75" customHeight="1" x14ac:dyDescent="0.25">
      <c r="A68" s="22" t="s">
        <v>44</v>
      </c>
      <c r="B68" s="28">
        <v>47371660</v>
      </c>
      <c r="C68" s="28">
        <v>47371761</v>
      </c>
      <c r="D68" s="26">
        <v>45958</v>
      </c>
      <c r="E68" s="29">
        <v>1083452666</v>
      </c>
      <c r="F68" s="28" t="s">
        <v>47</v>
      </c>
      <c r="G68" s="32">
        <v>25000</v>
      </c>
      <c r="H68" s="23">
        <f t="shared" si="0"/>
        <v>8750</v>
      </c>
      <c r="I68" s="28" t="s">
        <v>9</v>
      </c>
      <c r="J68" s="13" t="s">
        <v>15</v>
      </c>
      <c r="K68" s="28" t="s">
        <v>196</v>
      </c>
    </row>
    <row r="69" spans="1:11" ht="30.75" customHeight="1" x14ac:dyDescent="0.25">
      <c r="A69" s="22" t="s">
        <v>44</v>
      </c>
      <c r="B69" s="28">
        <v>47371951</v>
      </c>
      <c r="C69" s="28">
        <v>47372657</v>
      </c>
      <c r="D69" s="26">
        <v>45958</v>
      </c>
      <c r="E69" s="29">
        <v>1083452666</v>
      </c>
      <c r="F69" s="28" t="s">
        <v>47</v>
      </c>
      <c r="G69" s="32">
        <v>25000</v>
      </c>
      <c r="H69" s="23">
        <f t="shared" ref="H69:H132" si="1">+G69*35%</f>
        <v>8750</v>
      </c>
      <c r="I69" s="28" t="s">
        <v>9</v>
      </c>
      <c r="J69" s="13" t="s">
        <v>15</v>
      </c>
      <c r="K69" s="28" t="s">
        <v>197</v>
      </c>
    </row>
    <row r="70" spans="1:11" ht="30.75" customHeight="1" x14ac:dyDescent="0.25">
      <c r="A70" s="22" t="s">
        <v>44</v>
      </c>
      <c r="B70" s="28">
        <v>47392379</v>
      </c>
      <c r="C70" s="28">
        <v>47392403</v>
      </c>
      <c r="D70" s="26">
        <v>45959</v>
      </c>
      <c r="E70" s="29">
        <v>1002522490</v>
      </c>
      <c r="F70" s="28" t="s">
        <v>48</v>
      </c>
      <c r="G70" s="32">
        <v>85000</v>
      </c>
      <c r="H70" s="23">
        <f t="shared" si="1"/>
        <v>29749.999999999996</v>
      </c>
      <c r="I70" s="28" t="s">
        <v>9</v>
      </c>
      <c r="J70" s="13" t="s">
        <v>15</v>
      </c>
      <c r="K70" s="28" t="s">
        <v>198</v>
      </c>
    </row>
    <row r="71" spans="1:11" ht="30.75" customHeight="1" x14ac:dyDescent="0.25">
      <c r="A71" s="22" t="s">
        <v>44</v>
      </c>
      <c r="B71" s="28">
        <v>47392380</v>
      </c>
      <c r="C71" s="28">
        <v>47392405</v>
      </c>
      <c r="D71" s="26">
        <v>45959</v>
      </c>
      <c r="E71" s="29">
        <v>1002522490</v>
      </c>
      <c r="F71" s="28" t="s">
        <v>48</v>
      </c>
      <c r="G71" s="32">
        <v>85000</v>
      </c>
      <c r="H71" s="23">
        <f t="shared" si="1"/>
        <v>29749.999999999996</v>
      </c>
      <c r="I71" s="28" t="s">
        <v>9</v>
      </c>
      <c r="J71" s="13" t="s">
        <v>15</v>
      </c>
      <c r="K71" s="28" t="s">
        <v>199</v>
      </c>
    </row>
    <row r="72" spans="1:11" ht="30.75" customHeight="1" x14ac:dyDescent="0.25">
      <c r="A72" s="22" t="s">
        <v>44</v>
      </c>
      <c r="B72" s="28">
        <v>47408482</v>
      </c>
      <c r="C72" s="28">
        <v>47408493</v>
      </c>
      <c r="D72" s="26">
        <v>45960</v>
      </c>
      <c r="E72" s="29">
        <v>85458421</v>
      </c>
      <c r="F72" s="28" t="s">
        <v>25</v>
      </c>
      <c r="G72" s="32">
        <v>25000</v>
      </c>
      <c r="H72" s="23">
        <f t="shared" si="1"/>
        <v>8750</v>
      </c>
      <c r="I72" s="28" t="s">
        <v>9</v>
      </c>
      <c r="J72" s="13" t="s">
        <v>15</v>
      </c>
      <c r="K72" s="28" t="s">
        <v>200</v>
      </c>
    </row>
    <row r="73" spans="1:11" ht="30.75" customHeight="1" x14ac:dyDescent="0.25">
      <c r="A73" s="22" t="s">
        <v>44</v>
      </c>
      <c r="B73" s="28">
        <v>47408495</v>
      </c>
      <c r="C73" s="28">
        <v>47408497</v>
      </c>
      <c r="D73" s="26">
        <v>45960</v>
      </c>
      <c r="E73" s="29">
        <v>85458421</v>
      </c>
      <c r="F73" s="28" t="s">
        <v>25</v>
      </c>
      <c r="G73" s="32">
        <v>25000</v>
      </c>
      <c r="H73" s="23">
        <f t="shared" si="1"/>
        <v>8750</v>
      </c>
      <c r="I73" s="28" t="s">
        <v>9</v>
      </c>
      <c r="J73" s="13" t="s">
        <v>15</v>
      </c>
      <c r="K73" s="28" t="s">
        <v>201</v>
      </c>
    </row>
    <row r="74" spans="1:11" ht="30.75" customHeight="1" x14ac:dyDescent="0.25">
      <c r="A74" s="22" t="s">
        <v>44</v>
      </c>
      <c r="B74" s="28">
        <v>47424552</v>
      </c>
      <c r="C74" s="28">
        <v>47424591</v>
      </c>
      <c r="D74" s="26">
        <v>45961</v>
      </c>
      <c r="E74" s="29">
        <v>85458421</v>
      </c>
      <c r="F74" s="28" t="s">
        <v>25</v>
      </c>
      <c r="G74" s="32">
        <v>25000</v>
      </c>
      <c r="H74" s="23">
        <f t="shared" si="1"/>
        <v>8750</v>
      </c>
      <c r="I74" s="28" t="s">
        <v>9</v>
      </c>
      <c r="J74" s="13" t="s">
        <v>15</v>
      </c>
      <c r="K74" s="28" t="s">
        <v>202</v>
      </c>
    </row>
    <row r="75" spans="1:11" ht="30.75" customHeight="1" x14ac:dyDescent="0.25">
      <c r="A75" s="22" t="s">
        <v>44</v>
      </c>
      <c r="B75" s="28">
        <v>47424707</v>
      </c>
      <c r="C75" s="28">
        <v>47424755</v>
      </c>
      <c r="D75" s="26">
        <v>45961</v>
      </c>
      <c r="E75" s="29">
        <v>85458421</v>
      </c>
      <c r="F75" s="28" t="s">
        <v>25</v>
      </c>
      <c r="G75" s="32">
        <v>25000</v>
      </c>
      <c r="H75" s="23">
        <f t="shared" si="1"/>
        <v>8750</v>
      </c>
      <c r="I75" s="28" t="s">
        <v>9</v>
      </c>
      <c r="J75" s="13" t="s">
        <v>15</v>
      </c>
      <c r="K75" s="28" t="s">
        <v>203</v>
      </c>
    </row>
    <row r="76" spans="1:11" ht="30.75" customHeight="1" x14ac:dyDescent="0.25">
      <c r="A76" s="22" t="s">
        <v>44</v>
      </c>
      <c r="B76" s="28">
        <v>47427129</v>
      </c>
      <c r="C76" s="28">
        <v>47427158</v>
      </c>
      <c r="D76" s="26">
        <v>45961</v>
      </c>
      <c r="E76" s="29">
        <v>1007270385</v>
      </c>
      <c r="F76" s="28" t="s">
        <v>49</v>
      </c>
      <c r="G76" s="32">
        <v>85000</v>
      </c>
      <c r="H76" s="23">
        <f t="shared" si="1"/>
        <v>29749.999999999996</v>
      </c>
      <c r="I76" s="28" t="s">
        <v>9</v>
      </c>
      <c r="J76" s="13" t="s">
        <v>15</v>
      </c>
      <c r="K76" s="28" t="s">
        <v>204</v>
      </c>
    </row>
    <row r="77" spans="1:11" ht="30.75" customHeight="1" x14ac:dyDescent="0.25">
      <c r="A77" s="22" t="s">
        <v>44</v>
      </c>
      <c r="B77" s="28">
        <v>47427326</v>
      </c>
      <c r="C77" s="28">
        <v>47427345</v>
      </c>
      <c r="D77" s="26">
        <v>45961</v>
      </c>
      <c r="E77" s="29">
        <v>1007270385</v>
      </c>
      <c r="F77" s="28" t="s">
        <v>49</v>
      </c>
      <c r="G77" s="32">
        <v>85000</v>
      </c>
      <c r="H77" s="23">
        <f t="shared" si="1"/>
        <v>29749.999999999996</v>
      </c>
      <c r="I77" s="28" t="s">
        <v>9</v>
      </c>
      <c r="J77" s="13" t="s">
        <v>15</v>
      </c>
      <c r="K77" s="28" t="s">
        <v>205</v>
      </c>
    </row>
    <row r="78" spans="1:11" ht="30.75" customHeight="1" x14ac:dyDescent="0.25">
      <c r="A78" s="22" t="s">
        <v>44</v>
      </c>
      <c r="B78" s="28">
        <v>47434920</v>
      </c>
      <c r="C78" s="28">
        <v>47434923</v>
      </c>
      <c r="D78" s="26">
        <v>45962</v>
      </c>
      <c r="E78" s="29">
        <v>1128203527</v>
      </c>
      <c r="F78" s="28" t="s">
        <v>24</v>
      </c>
      <c r="G78" s="32">
        <v>25000</v>
      </c>
      <c r="H78" s="23">
        <f t="shared" si="1"/>
        <v>8750</v>
      </c>
      <c r="I78" s="28" t="s">
        <v>9</v>
      </c>
      <c r="J78" s="13" t="s">
        <v>15</v>
      </c>
      <c r="K78" s="28" t="s">
        <v>206</v>
      </c>
    </row>
    <row r="79" spans="1:11" ht="30.75" customHeight="1" x14ac:dyDescent="0.25">
      <c r="A79" s="22" t="s">
        <v>44</v>
      </c>
      <c r="B79" s="28">
        <v>47434927</v>
      </c>
      <c r="C79" s="28">
        <v>47434931</v>
      </c>
      <c r="D79" s="26">
        <v>45962</v>
      </c>
      <c r="E79" s="29">
        <v>1128203527</v>
      </c>
      <c r="F79" s="28" t="s">
        <v>24</v>
      </c>
      <c r="G79" s="32">
        <v>25000</v>
      </c>
      <c r="H79" s="23">
        <f t="shared" si="1"/>
        <v>8750</v>
      </c>
      <c r="I79" s="28" t="s">
        <v>9</v>
      </c>
      <c r="J79" s="13" t="s">
        <v>15</v>
      </c>
      <c r="K79" s="28" t="s">
        <v>207</v>
      </c>
    </row>
    <row r="80" spans="1:11" ht="30.75" customHeight="1" x14ac:dyDescent="0.25">
      <c r="A80" s="22" t="s">
        <v>44</v>
      </c>
      <c r="B80" s="28">
        <v>47436299</v>
      </c>
      <c r="C80" s="28">
        <v>47436307</v>
      </c>
      <c r="D80" s="26">
        <v>45962</v>
      </c>
      <c r="E80" s="29">
        <v>1007468857</v>
      </c>
      <c r="F80" s="28" t="s">
        <v>41</v>
      </c>
      <c r="G80" s="32">
        <v>50000</v>
      </c>
      <c r="H80" s="23">
        <f t="shared" si="1"/>
        <v>17500</v>
      </c>
      <c r="I80" s="28" t="s">
        <v>10</v>
      </c>
      <c r="J80" s="13" t="s">
        <v>26</v>
      </c>
      <c r="K80" s="28" t="s">
        <v>208</v>
      </c>
    </row>
    <row r="81" spans="1:11" ht="30.75" customHeight="1" x14ac:dyDescent="0.25">
      <c r="A81" s="22" t="s">
        <v>44</v>
      </c>
      <c r="B81" s="28">
        <v>47436332</v>
      </c>
      <c r="C81" s="28">
        <v>47436341</v>
      </c>
      <c r="D81" s="26">
        <v>45962</v>
      </c>
      <c r="E81" s="29">
        <v>1007468857</v>
      </c>
      <c r="F81" s="28" t="s">
        <v>41</v>
      </c>
      <c r="G81" s="32">
        <v>50000</v>
      </c>
      <c r="H81" s="23">
        <f t="shared" si="1"/>
        <v>17500</v>
      </c>
      <c r="I81" s="28" t="s">
        <v>10</v>
      </c>
      <c r="J81" s="13" t="s">
        <v>26</v>
      </c>
      <c r="K81" s="28" t="s">
        <v>209</v>
      </c>
    </row>
    <row r="82" spans="1:11" ht="30.75" customHeight="1" x14ac:dyDescent="0.25">
      <c r="A82" s="22" t="s">
        <v>44</v>
      </c>
      <c r="B82" s="28">
        <v>47436772</v>
      </c>
      <c r="C82" s="28">
        <v>47436881</v>
      </c>
      <c r="D82" s="26">
        <v>45962</v>
      </c>
      <c r="E82" s="29">
        <v>21182220</v>
      </c>
      <c r="F82" s="28" t="s">
        <v>50</v>
      </c>
      <c r="G82" s="32">
        <v>29878</v>
      </c>
      <c r="H82" s="23">
        <f t="shared" si="1"/>
        <v>10457.299999999999</v>
      </c>
      <c r="I82" s="28" t="s">
        <v>11</v>
      </c>
      <c r="J82" s="13" t="s">
        <v>13</v>
      </c>
      <c r="K82" s="28" t="s">
        <v>210</v>
      </c>
    </row>
    <row r="83" spans="1:11" ht="30.75" customHeight="1" x14ac:dyDescent="0.25">
      <c r="A83" s="22" t="s">
        <v>44</v>
      </c>
      <c r="B83" s="28">
        <v>47441142</v>
      </c>
      <c r="C83" s="28">
        <v>47441153</v>
      </c>
      <c r="D83" s="26">
        <v>45965</v>
      </c>
      <c r="E83" s="29">
        <v>1193542205</v>
      </c>
      <c r="F83" s="28" t="s">
        <v>51</v>
      </c>
      <c r="G83" s="32">
        <v>25000</v>
      </c>
      <c r="H83" s="23">
        <f t="shared" si="1"/>
        <v>8750</v>
      </c>
      <c r="I83" s="28" t="s">
        <v>9</v>
      </c>
      <c r="J83" s="13" t="s">
        <v>15</v>
      </c>
      <c r="K83" s="28" t="s">
        <v>211</v>
      </c>
    </row>
    <row r="84" spans="1:11" ht="30.75" customHeight="1" x14ac:dyDescent="0.25">
      <c r="A84" s="22" t="s">
        <v>44</v>
      </c>
      <c r="B84" s="28">
        <v>47441164</v>
      </c>
      <c r="C84" s="28">
        <v>47441173</v>
      </c>
      <c r="D84" s="26">
        <v>45965</v>
      </c>
      <c r="E84" s="29">
        <v>1193542205</v>
      </c>
      <c r="F84" s="28" t="s">
        <v>51</v>
      </c>
      <c r="G84" s="32">
        <v>25000</v>
      </c>
      <c r="H84" s="23">
        <f t="shared" si="1"/>
        <v>8750</v>
      </c>
      <c r="I84" s="28" t="s">
        <v>9</v>
      </c>
      <c r="J84" s="13" t="s">
        <v>15</v>
      </c>
      <c r="K84" s="28" t="s">
        <v>212</v>
      </c>
    </row>
    <row r="85" spans="1:11" ht="30.75" customHeight="1" x14ac:dyDescent="0.25">
      <c r="A85" s="22" t="s">
        <v>44</v>
      </c>
      <c r="B85" s="28">
        <v>47441412</v>
      </c>
      <c r="C85" s="28">
        <v>47441417</v>
      </c>
      <c r="D85" s="26">
        <v>45965</v>
      </c>
      <c r="E85" s="29">
        <v>85260647</v>
      </c>
      <c r="F85" s="28" t="s">
        <v>30</v>
      </c>
      <c r="G85" s="32">
        <v>25000</v>
      </c>
      <c r="H85" s="23">
        <f t="shared" si="1"/>
        <v>8750</v>
      </c>
      <c r="I85" s="28" t="s">
        <v>9</v>
      </c>
      <c r="J85" s="13" t="s">
        <v>15</v>
      </c>
      <c r="K85" s="28" t="s">
        <v>213</v>
      </c>
    </row>
    <row r="86" spans="1:11" ht="30.75" customHeight="1" x14ac:dyDescent="0.25">
      <c r="A86" s="22" t="s">
        <v>44</v>
      </c>
      <c r="B86" s="28">
        <v>47441446</v>
      </c>
      <c r="C86" s="28">
        <v>47441448</v>
      </c>
      <c r="D86" s="26">
        <v>45965</v>
      </c>
      <c r="E86" s="29">
        <v>85260647</v>
      </c>
      <c r="F86" s="28" t="s">
        <v>30</v>
      </c>
      <c r="G86" s="32">
        <v>25000</v>
      </c>
      <c r="H86" s="23">
        <f t="shared" si="1"/>
        <v>8750</v>
      </c>
      <c r="I86" s="28" t="s">
        <v>9</v>
      </c>
      <c r="J86" s="13" t="s">
        <v>15</v>
      </c>
      <c r="K86" s="28" t="s">
        <v>214</v>
      </c>
    </row>
    <row r="87" spans="1:11" ht="30.75" customHeight="1" x14ac:dyDescent="0.25">
      <c r="A87" s="22" t="s">
        <v>44</v>
      </c>
      <c r="B87" s="28">
        <v>47441456</v>
      </c>
      <c r="C87" s="28">
        <v>47441462</v>
      </c>
      <c r="D87" s="26">
        <v>45965</v>
      </c>
      <c r="E87" s="29">
        <v>85260647</v>
      </c>
      <c r="F87" s="28" t="s">
        <v>30</v>
      </c>
      <c r="G87" s="32">
        <v>25000</v>
      </c>
      <c r="H87" s="23">
        <f t="shared" si="1"/>
        <v>8750</v>
      </c>
      <c r="I87" s="28" t="s">
        <v>9</v>
      </c>
      <c r="J87" s="13" t="s">
        <v>15</v>
      </c>
      <c r="K87" s="28" t="s">
        <v>215</v>
      </c>
    </row>
    <row r="88" spans="1:11" ht="30.75" customHeight="1" x14ac:dyDescent="0.25">
      <c r="A88" s="22" t="s">
        <v>44</v>
      </c>
      <c r="B88" s="28">
        <v>47441471</v>
      </c>
      <c r="C88" s="28">
        <v>47441481</v>
      </c>
      <c r="D88" s="26">
        <v>45965</v>
      </c>
      <c r="E88" s="29">
        <v>85260647</v>
      </c>
      <c r="F88" s="28" t="s">
        <v>30</v>
      </c>
      <c r="G88" s="32">
        <v>25000</v>
      </c>
      <c r="H88" s="23">
        <f t="shared" si="1"/>
        <v>8750</v>
      </c>
      <c r="I88" s="28" t="s">
        <v>9</v>
      </c>
      <c r="J88" s="13" t="s">
        <v>15</v>
      </c>
      <c r="K88" s="28" t="s">
        <v>216</v>
      </c>
    </row>
    <row r="89" spans="1:11" ht="30.75" customHeight="1" x14ac:dyDescent="0.25">
      <c r="A89" s="22" t="s">
        <v>44</v>
      </c>
      <c r="B89" s="28">
        <v>47442092</v>
      </c>
      <c r="C89" s="28">
        <v>47442098</v>
      </c>
      <c r="D89" s="26">
        <v>45965</v>
      </c>
      <c r="E89" s="29">
        <v>85260647</v>
      </c>
      <c r="F89" s="28" t="s">
        <v>30</v>
      </c>
      <c r="G89" s="32">
        <v>25000</v>
      </c>
      <c r="H89" s="23">
        <f t="shared" si="1"/>
        <v>8750</v>
      </c>
      <c r="I89" s="28" t="s">
        <v>9</v>
      </c>
      <c r="J89" s="13" t="s">
        <v>15</v>
      </c>
      <c r="K89" s="28" t="s">
        <v>217</v>
      </c>
    </row>
    <row r="90" spans="1:11" ht="30.75" customHeight="1" x14ac:dyDescent="0.25">
      <c r="A90" s="22" t="s">
        <v>44</v>
      </c>
      <c r="B90" s="28">
        <v>47442110</v>
      </c>
      <c r="C90" s="28">
        <v>47442112</v>
      </c>
      <c r="D90" s="26">
        <v>45965</v>
      </c>
      <c r="E90" s="29">
        <v>85260647</v>
      </c>
      <c r="F90" s="28" t="s">
        <v>30</v>
      </c>
      <c r="G90" s="32">
        <v>25000</v>
      </c>
      <c r="H90" s="23">
        <f t="shared" si="1"/>
        <v>8750</v>
      </c>
      <c r="I90" s="28" t="s">
        <v>9</v>
      </c>
      <c r="J90" s="13" t="s">
        <v>15</v>
      </c>
      <c r="K90" s="28" t="s">
        <v>218</v>
      </c>
    </row>
    <row r="91" spans="1:11" ht="30.75" customHeight="1" x14ac:dyDescent="0.25">
      <c r="A91" s="22" t="s">
        <v>44</v>
      </c>
      <c r="B91" s="28">
        <v>47450373</v>
      </c>
      <c r="C91" s="28">
        <v>47450375</v>
      </c>
      <c r="D91" s="26">
        <v>45965</v>
      </c>
      <c r="E91" s="29">
        <v>85260647</v>
      </c>
      <c r="F91" s="28" t="s">
        <v>30</v>
      </c>
      <c r="G91" s="32">
        <v>25000</v>
      </c>
      <c r="H91" s="23">
        <f t="shared" si="1"/>
        <v>8750</v>
      </c>
      <c r="I91" s="28" t="s">
        <v>9</v>
      </c>
      <c r="J91" s="13" t="s">
        <v>15</v>
      </c>
      <c r="K91" s="28" t="s">
        <v>219</v>
      </c>
    </row>
    <row r="92" spans="1:11" ht="30.75" customHeight="1" x14ac:dyDescent="0.25">
      <c r="A92" s="22" t="s">
        <v>44</v>
      </c>
      <c r="B92" s="28">
        <v>47450385</v>
      </c>
      <c r="C92" s="28">
        <v>47450389</v>
      </c>
      <c r="D92" s="26">
        <v>45965</v>
      </c>
      <c r="E92" s="29">
        <v>85260647</v>
      </c>
      <c r="F92" s="28" t="s">
        <v>30</v>
      </c>
      <c r="G92" s="32">
        <v>25000</v>
      </c>
      <c r="H92" s="23">
        <f t="shared" si="1"/>
        <v>8750</v>
      </c>
      <c r="I92" s="28" t="s">
        <v>9</v>
      </c>
      <c r="J92" s="13" t="s">
        <v>15</v>
      </c>
      <c r="K92" s="28" t="s">
        <v>220</v>
      </c>
    </row>
    <row r="93" spans="1:11" ht="30.75" customHeight="1" x14ac:dyDescent="0.25">
      <c r="A93" s="22" t="s">
        <v>44</v>
      </c>
      <c r="B93" s="28">
        <v>47450402</v>
      </c>
      <c r="C93" s="28">
        <v>47450407</v>
      </c>
      <c r="D93" s="26">
        <v>45965</v>
      </c>
      <c r="E93" s="29">
        <v>85260647</v>
      </c>
      <c r="F93" s="28" t="s">
        <v>30</v>
      </c>
      <c r="G93" s="32">
        <v>25000</v>
      </c>
      <c r="H93" s="23">
        <f t="shared" si="1"/>
        <v>8750</v>
      </c>
      <c r="I93" s="28" t="s">
        <v>9</v>
      </c>
      <c r="J93" s="13" t="s">
        <v>15</v>
      </c>
      <c r="K93" s="28" t="s">
        <v>221</v>
      </c>
    </row>
    <row r="94" spans="1:11" ht="30.75" customHeight="1" x14ac:dyDescent="0.25">
      <c r="A94" s="22" t="s">
        <v>44</v>
      </c>
      <c r="B94" s="28">
        <v>47450420</v>
      </c>
      <c r="C94" s="28">
        <v>47450424</v>
      </c>
      <c r="D94" s="26">
        <v>45965</v>
      </c>
      <c r="E94" s="29">
        <v>85260647</v>
      </c>
      <c r="F94" s="28" t="s">
        <v>30</v>
      </c>
      <c r="G94" s="32">
        <v>25000</v>
      </c>
      <c r="H94" s="23">
        <f t="shared" si="1"/>
        <v>8750</v>
      </c>
      <c r="I94" s="28" t="s">
        <v>9</v>
      </c>
      <c r="J94" s="13" t="s">
        <v>15</v>
      </c>
      <c r="K94" s="28" t="s">
        <v>222</v>
      </c>
    </row>
    <row r="95" spans="1:11" ht="30.75" customHeight="1" x14ac:dyDescent="0.25">
      <c r="A95" s="22" t="s">
        <v>44</v>
      </c>
      <c r="B95" s="28">
        <v>47441374</v>
      </c>
      <c r="C95" s="28">
        <v>47441376</v>
      </c>
      <c r="D95" s="26">
        <v>45965</v>
      </c>
      <c r="E95" s="29">
        <v>40433555</v>
      </c>
      <c r="F95" s="28" t="s">
        <v>52</v>
      </c>
      <c r="G95" s="32">
        <v>80000</v>
      </c>
      <c r="H95" s="23">
        <f t="shared" si="1"/>
        <v>28000</v>
      </c>
      <c r="I95" s="28" t="s">
        <v>9</v>
      </c>
      <c r="J95" s="13" t="s">
        <v>15</v>
      </c>
      <c r="K95" s="28" t="s">
        <v>223</v>
      </c>
    </row>
    <row r="96" spans="1:11" ht="30.75" customHeight="1" x14ac:dyDescent="0.25">
      <c r="A96" s="22" t="s">
        <v>44</v>
      </c>
      <c r="B96" s="28">
        <v>47441378</v>
      </c>
      <c r="C96" s="28">
        <v>47441381</v>
      </c>
      <c r="D96" s="26">
        <v>45965</v>
      </c>
      <c r="E96" s="29">
        <v>40433555</v>
      </c>
      <c r="F96" s="28" t="s">
        <v>52</v>
      </c>
      <c r="G96" s="32">
        <v>80000</v>
      </c>
      <c r="H96" s="23">
        <f t="shared" si="1"/>
        <v>28000</v>
      </c>
      <c r="I96" s="28" t="s">
        <v>9</v>
      </c>
      <c r="J96" s="13" t="s">
        <v>15</v>
      </c>
      <c r="K96" s="28" t="s">
        <v>224</v>
      </c>
    </row>
    <row r="97" spans="1:11" ht="30.75" customHeight="1" x14ac:dyDescent="0.25">
      <c r="A97" s="22" t="s">
        <v>44</v>
      </c>
      <c r="B97" s="28">
        <v>47441409</v>
      </c>
      <c r="C97" s="28">
        <v>47441411</v>
      </c>
      <c r="D97" s="26">
        <v>45965</v>
      </c>
      <c r="E97" s="29">
        <v>40433555</v>
      </c>
      <c r="F97" s="28" t="s">
        <v>52</v>
      </c>
      <c r="G97" s="32">
        <v>80000</v>
      </c>
      <c r="H97" s="23">
        <f t="shared" si="1"/>
        <v>28000</v>
      </c>
      <c r="I97" s="28" t="s">
        <v>9</v>
      </c>
      <c r="J97" s="13" t="s">
        <v>15</v>
      </c>
      <c r="K97" s="28" t="s">
        <v>225</v>
      </c>
    </row>
    <row r="98" spans="1:11" ht="30.75" customHeight="1" x14ac:dyDescent="0.25">
      <c r="A98" s="22" t="s">
        <v>44</v>
      </c>
      <c r="B98" s="28">
        <v>47441428</v>
      </c>
      <c r="C98" s="28">
        <v>47441430</v>
      </c>
      <c r="D98" s="26">
        <v>45965</v>
      </c>
      <c r="E98" s="29">
        <v>40433555</v>
      </c>
      <c r="F98" s="28" t="s">
        <v>52</v>
      </c>
      <c r="G98" s="32">
        <v>80000</v>
      </c>
      <c r="H98" s="23">
        <f t="shared" si="1"/>
        <v>28000</v>
      </c>
      <c r="I98" s="28" t="s">
        <v>9</v>
      </c>
      <c r="J98" s="13" t="s">
        <v>15</v>
      </c>
      <c r="K98" s="28" t="s">
        <v>226</v>
      </c>
    </row>
    <row r="99" spans="1:11" ht="30.75" customHeight="1" x14ac:dyDescent="0.25">
      <c r="A99" s="22" t="s">
        <v>44</v>
      </c>
      <c r="B99" s="28">
        <v>47442148</v>
      </c>
      <c r="C99" s="28">
        <v>47442150</v>
      </c>
      <c r="D99" s="26">
        <v>45965</v>
      </c>
      <c r="E99" s="29">
        <v>1193230361</v>
      </c>
      <c r="F99" s="28" t="s">
        <v>53</v>
      </c>
      <c r="G99" s="32">
        <v>25000</v>
      </c>
      <c r="H99" s="23">
        <f t="shared" si="1"/>
        <v>8750</v>
      </c>
      <c r="I99" s="28" t="s">
        <v>9</v>
      </c>
      <c r="J99" s="13" t="s">
        <v>15</v>
      </c>
      <c r="K99" s="28" t="s">
        <v>227</v>
      </c>
    </row>
    <row r="100" spans="1:11" ht="30.75" customHeight="1" x14ac:dyDescent="0.25">
      <c r="A100" s="22" t="s">
        <v>44</v>
      </c>
      <c r="B100" s="28">
        <v>47442152</v>
      </c>
      <c r="C100" s="28">
        <v>47442154</v>
      </c>
      <c r="D100" s="26">
        <v>45965</v>
      </c>
      <c r="E100" s="29">
        <v>1193230361</v>
      </c>
      <c r="F100" s="28" t="s">
        <v>53</v>
      </c>
      <c r="G100" s="32">
        <v>25000</v>
      </c>
      <c r="H100" s="23">
        <f t="shared" si="1"/>
        <v>8750</v>
      </c>
      <c r="I100" s="28" t="s">
        <v>9</v>
      </c>
      <c r="J100" s="13" t="s">
        <v>15</v>
      </c>
      <c r="K100" s="28" t="s">
        <v>228</v>
      </c>
    </row>
    <row r="101" spans="1:11" ht="30.75" customHeight="1" x14ac:dyDescent="0.25">
      <c r="A101" s="22" t="s">
        <v>44</v>
      </c>
      <c r="B101" s="28">
        <v>47450470</v>
      </c>
      <c r="C101" s="28">
        <v>47450478</v>
      </c>
      <c r="D101" s="26">
        <v>45965</v>
      </c>
      <c r="E101" s="29">
        <v>1193230361</v>
      </c>
      <c r="F101" s="28" t="s">
        <v>53</v>
      </c>
      <c r="G101" s="32">
        <v>25000</v>
      </c>
      <c r="H101" s="23">
        <f t="shared" si="1"/>
        <v>8750</v>
      </c>
      <c r="I101" s="28" t="s">
        <v>9</v>
      </c>
      <c r="J101" s="13" t="s">
        <v>15</v>
      </c>
      <c r="K101" s="28" t="s">
        <v>229</v>
      </c>
    </row>
    <row r="102" spans="1:11" ht="30.75" customHeight="1" x14ac:dyDescent="0.25">
      <c r="A102" s="22" t="s">
        <v>44</v>
      </c>
      <c r="B102" s="28">
        <v>47450504</v>
      </c>
      <c r="C102" s="28">
        <v>47450507</v>
      </c>
      <c r="D102" s="26">
        <v>45965</v>
      </c>
      <c r="E102" s="29">
        <v>1193230361</v>
      </c>
      <c r="F102" s="28" t="s">
        <v>53</v>
      </c>
      <c r="G102" s="32">
        <v>25000</v>
      </c>
      <c r="H102" s="23">
        <f t="shared" si="1"/>
        <v>8750</v>
      </c>
      <c r="I102" s="28" t="s">
        <v>9</v>
      </c>
      <c r="J102" s="13" t="s">
        <v>15</v>
      </c>
      <c r="K102" s="28" t="s">
        <v>230</v>
      </c>
    </row>
    <row r="103" spans="1:11" ht="30.75" customHeight="1" x14ac:dyDescent="0.25">
      <c r="A103" s="22" t="s">
        <v>44</v>
      </c>
      <c r="B103" s="28">
        <v>47454129</v>
      </c>
      <c r="C103" s="28">
        <v>47454279</v>
      </c>
      <c r="D103" s="26">
        <v>45965</v>
      </c>
      <c r="E103" s="29">
        <v>79219522</v>
      </c>
      <c r="F103" s="28" t="s">
        <v>54</v>
      </c>
      <c r="G103" s="32">
        <v>532500</v>
      </c>
      <c r="H103" s="23">
        <f t="shared" si="1"/>
        <v>186375</v>
      </c>
      <c r="I103" s="28" t="s">
        <v>11</v>
      </c>
      <c r="J103" s="13" t="s">
        <v>13</v>
      </c>
      <c r="K103" s="28" t="s">
        <v>231</v>
      </c>
    </row>
    <row r="104" spans="1:11" ht="30.75" customHeight="1" x14ac:dyDescent="0.25">
      <c r="A104" s="22" t="s">
        <v>44</v>
      </c>
      <c r="B104" s="28">
        <v>47417017</v>
      </c>
      <c r="C104" s="28">
        <v>47417029</v>
      </c>
      <c r="D104" s="26">
        <v>45960</v>
      </c>
      <c r="E104" s="29">
        <v>93087763</v>
      </c>
      <c r="F104" s="28" t="s">
        <v>55</v>
      </c>
      <c r="G104" s="32">
        <v>735600</v>
      </c>
      <c r="H104" s="23">
        <f t="shared" si="1"/>
        <v>257459.99999999997</v>
      </c>
      <c r="I104" s="28" t="s">
        <v>11</v>
      </c>
      <c r="J104" s="13" t="s">
        <v>13</v>
      </c>
      <c r="K104" s="28" t="s">
        <v>232</v>
      </c>
    </row>
    <row r="105" spans="1:11" ht="30.75" customHeight="1" x14ac:dyDescent="0.25">
      <c r="A105" s="22" t="s">
        <v>44</v>
      </c>
      <c r="B105" s="28">
        <v>47390601</v>
      </c>
      <c r="C105" s="28">
        <v>47390632</v>
      </c>
      <c r="D105" s="26">
        <v>45958</v>
      </c>
      <c r="E105" s="29">
        <v>77011161</v>
      </c>
      <c r="F105" s="28" t="s">
        <v>33</v>
      </c>
      <c r="G105" s="32">
        <v>338660</v>
      </c>
      <c r="H105" s="23">
        <f t="shared" si="1"/>
        <v>118530.99999999999</v>
      </c>
      <c r="I105" s="28" t="s">
        <v>11</v>
      </c>
      <c r="J105" s="13" t="s">
        <v>13</v>
      </c>
      <c r="K105" s="28" t="s">
        <v>233</v>
      </c>
    </row>
    <row r="106" spans="1:11" ht="30.75" customHeight="1" x14ac:dyDescent="0.25">
      <c r="A106" s="22" t="s">
        <v>44</v>
      </c>
      <c r="B106" s="28">
        <v>47427244</v>
      </c>
      <c r="C106" s="28">
        <v>47427478</v>
      </c>
      <c r="D106" s="26">
        <v>45961</v>
      </c>
      <c r="E106" s="29">
        <v>98615285</v>
      </c>
      <c r="F106" s="28" t="s">
        <v>29</v>
      </c>
      <c r="G106" s="32">
        <v>263700</v>
      </c>
      <c r="H106" s="23">
        <f t="shared" si="1"/>
        <v>92295</v>
      </c>
      <c r="I106" s="28" t="s">
        <v>11</v>
      </c>
      <c r="J106" s="13" t="s">
        <v>13</v>
      </c>
      <c r="K106" s="28" t="s">
        <v>234</v>
      </c>
    </row>
    <row r="107" spans="1:11" ht="30.75" customHeight="1" x14ac:dyDescent="0.25">
      <c r="A107" s="22" t="s">
        <v>44</v>
      </c>
      <c r="B107" s="28">
        <v>47457286</v>
      </c>
      <c r="C107" s="28">
        <v>47457547</v>
      </c>
      <c r="D107" s="26">
        <v>45966</v>
      </c>
      <c r="E107" s="29">
        <v>85458421</v>
      </c>
      <c r="F107" s="28" t="s">
        <v>25</v>
      </c>
      <c r="G107" s="32">
        <v>25000</v>
      </c>
      <c r="H107" s="23">
        <f t="shared" si="1"/>
        <v>8750</v>
      </c>
      <c r="I107" s="28" t="s">
        <v>9</v>
      </c>
      <c r="J107" s="13" t="s">
        <v>15</v>
      </c>
      <c r="K107" s="28" t="s">
        <v>235</v>
      </c>
    </row>
    <row r="108" spans="1:11" ht="30.75" customHeight="1" x14ac:dyDescent="0.25">
      <c r="A108" s="22" t="s">
        <v>44</v>
      </c>
      <c r="B108" s="28">
        <v>47457599</v>
      </c>
      <c r="C108" s="28">
        <v>47457614</v>
      </c>
      <c r="D108" s="26">
        <v>45966</v>
      </c>
      <c r="E108" s="29">
        <v>85458421</v>
      </c>
      <c r="F108" s="28" t="s">
        <v>25</v>
      </c>
      <c r="G108" s="32">
        <v>25000</v>
      </c>
      <c r="H108" s="23">
        <f t="shared" si="1"/>
        <v>8750</v>
      </c>
      <c r="I108" s="28" t="s">
        <v>9</v>
      </c>
      <c r="J108" s="13" t="s">
        <v>15</v>
      </c>
      <c r="K108" s="28" t="s">
        <v>236</v>
      </c>
    </row>
    <row r="109" spans="1:11" ht="30.75" customHeight="1" x14ac:dyDescent="0.25">
      <c r="A109" s="22" t="s">
        <v>44</v>
      </c>
      <c r="B109" s="28">
        <v>47457687</v>
      </c>
      <c r="C109" s="28">
        <v>47457732</v>
      </c>
      <c r="D109" s="26">
        <v>45966</v>
      </c>
      <c r="E109" s="29">
        <v>85458421</v>
      </c>
      <c r="F109" s="28" t="s">
        <v>25</v>
      </c>
      <c r="G109" s="32">
        <v>25000</v>
      </c>
      <c r="H109" s="23">
        <f t="shared" si="1"/>
        <v>8750</v>
      </c>
      <c r="I109" s="28" t="s">
        <v>9</v>
      </c>
      <c r="J109" s="13" t="s">
        <v>15</v>
      </c>
      <c r="K109" s="28" t="s">
        <v>237</v>
      </c>
    </row>
    <row r="110" spans="1:11" ht="30.75" customHeight="1" x14ac:dyDescent="0.25">
      <c r="A110" s="22" t="s">
        <v>44</v>
      </c>
      <c r="B110" s="28">
        <v>47457739</v>
      </c>
      <c r="C110" s="28">
        <v>47457781</v>
      </c>
      <c r="D110" s="26">
        <v>45966</v>
      </c>
      <c r="E110" s="29">
        <v>85458421</v>
      </c>
      <c r="F110" s="28" t="s">
        <v>25</v>
      </c>
      <c r="G110" s="32">
        <v>25000</v>
      </c>
      <c r="H110" s="23">
        <f t="shared" si="1"/>
        <v>8750</v>
      </c>
      <c r="I110" s="28" t="s">
        <v>9</v>
      </c>
      <c r="J110" s="13" t="s">
        <v>15</v>
      </c>
      <c r="K110" s="28" t="s">
        <v>238</v>
      </c>
    </row>
    <row r="111" spans="1:11" ht="30.75" customHeight="1" x14ac:dyDescent="0.25">
      <c r="A111" s="22" t="s">
        <v>44</v>
      </c>
      <c r="B111" s="28">
        <v>47463965</v>
      </c>
      <c r="C111" s="28">
        <v>47463970</v>
      </c>
      <c r="D111" s="26">
        <v>45966</v>
      </c>
      <c r="E111" s="29">
        <v>40433555</v>
      </c>
      <c r="F111" s="28" t="s">
        <v>52</v>
      </c>
      <c r="G111" s="32">
        <v>80000</v>
      </c>
      <c r="H111" s="23">
        <f t="shared" si="1"/>
        <v>28000</v>
      </c>
      <c r="I111" s="28" t="s">
        <v>9</v>
      </c>
      <c r="J111" s="13" t="s">
        <v>15</v>
      </c>
      <c r="K111" s="28" t="s">
        <v>239</v>
      </c>
    </row>
    <row r="112" spans="1:11" ht="30.75" customHeight="1" x14ac:dyDescent="0.25">
      <c r="A112" s="22" t="s">
        <v>44</v>
      </c>
      <c r="B112" s="28">
        <v>47463988</v>
      </c>
      <c r="C112" s="28">
        <v>47463990</v>
      </c>
      <c r="D112" s="26">
        <v>45966</v>
      </c>
      <c r="E112" s="29">
        <v>40433555</v>
      </c>
      <c r="F112" s="28" t="s">
        <v>52</v>
      </c>
      <c r="G112" s="32">
        <v>80000</v>
      </c>
      <c r="H112" s="23">
        <f t="shared" si="1"/>
        <v>28000</v>
      </c>
      <c r="I112" s="28" t="s">
        <v>9</v>
      </c>
      <c r="J112" s="13" t="s">
        <v>15</v>
      </c>
      <c r="K112" s="28" t="s">
        <v>240</v>
      </c>
    </row>
    <row r="113" spans="1:11" ht="30.75" customHeight="1" x14ac:dyDescent="0.25">
      <c r="A113" s="22" t="s">
        <v>44</v>
      </c>
      <c r="B113" s="28">
        <v>47464040</v>
      </c>
      <c r="C113" s="28">
        <v>47464047</v>
      </c>
      <c r="D113" s="26">
        <v>45966</v>
      </c>
      <c r="E113" s="29">
        <v>40433555</v>
      </c>
      <c r="F113" s="28" t="s">
        <v>52</v>
      </c>
      <c r="G113" s="32">
        <v>80000</v>
      </c>
      <c r="H113" s="23">
        <f t="shared" si="1"/>
        <v>28000</v>
      </c>
      <c r="I113" s="28" t="s">
        <v>9</v>
      </c>
      <c r="J113" s="13" t="s">
        <v>15</v>
      </c>
      <c r="K113" s="28" t="s">
        <v>241</v>
      </c>
    </row>
    <row r="114" spans="1:11" ht="30.75" customHeight="1" x14ac:dyDescent="0.25">
      <c r="A114" s="22" t="s">
        <v>44</v>
      </c>
      <c r="B114" s="28">
        <v>47464077</v>
      </c>
      <c r="C114" s="28">
        <v>47464081</v>
      </c>
      <c r="D114" s="26">
        <v>45966</v>
      </c>
      <c r="E114" s="29">
        <v>40433555</v>
      </c>
      <c r="F114" s="28" t="s">
        <v>52</v>
      </c>
      <c r="G114" s="32">
        <v>80000</v>
      </c>
      <c r="H114" s="23">
        <f t="shared" si="1"/>
        <v>28000</v>
      </c>
      <c r="I114" s="28" t="s">
        <v>9</v>
      </c>
      <c r="J114" s="13" t="s">
        <v>15</v>
      </c>
      <c r="K114" s="28" t="s">
        <v>242</v>
      </c>
    </row>
    <row r="115" spans="1:11" ht="30.75" customHeight="1" x14ac:dyDescent="0.25">
      <c r="A115" s="22" t="s">
        <v>44</v>
      </c>
      <c r="B115" s="28">
        <v>47469079</v>
      </c>
      <c r="C115" s="28">
        <v>47469138</v>
      </c>
      <c r="D115" s="26">
        <v>45966</v>
      </c>
      <c r="E115" s="29">
        <v>76317199</v>
      </c>
      <c r="F115" s="28" t="s">
        <v>56</v>
      </c>
      <c r="G115" s="32">
        <v>159800</v>
      </c>
      <c r="H115" s="23">
        <f t="shared" si="1"/>
        <v>55930</v>
      </c>
      <c r="I115" s="28" t="s">
        <v>11</v>
      </c>
      <c r="J115" s="13" t="s">
        <v>13</v>
      </c>
      <c r="K115" s="28" t="s">
        <v>243</v>
      </c>
    </row>
    <row r="116" spans="1:11" ht="30.75" customHeight="1" x14ac:dyDescent="0.25">
      <c r="A116" s="22" t="s">
        <v>44</v>
      </c>
      <c r="B116" s="28">
        <v>47470688</v>
      </c>
      <c r="C116" s="28">
        <v>47470805</v>
      </c>
      <c r="D116" s="26">
        <v>45966</v>
      </c>
      <c r="E116" s="29">
        <v>8764662</v>
      </c>
      <c r="F116" s="28" t="s">
        <v>57</v>
      </c>
      <c r="G116" s="32">
        <v>62900</v>
      </c>
      <c r="H116" s="23">
        <f t="shared" si="1"/>
        <v>22015</v>
      </c>
      <c r="I116" s="28" t="s">
        <v>11</v>
      </c>
      <c r="J116" s="13" t="s">
        <v>13</v>
      </c>
      <c r="K116" s="28" t="s">
        <v>244</v>
      </c>
    </row>
    <row r="117" spans="1:11" ht="30.75" customHeight="1" x14ac:dyDescent="0.25">
      <c r="A117" s="22" t="s">
        <v>44</v>
      </c>
      <c r="B117" s="28">
        <v>47450570</v>
      </c>
      <c r="C117" s="28">
        <v>47450805</v>
      </c>
      <c r="D117" s="26">
        <v>45965</v>
      </c>
      <c r="E117" s="29">
        <v>12618216</v>
      </c>
      <c r="F117" s="28" t="s">
        <v>27</v>
      </c>
      <c r="G117" s="32">
        <v>25000</v>
      </c>
      <c r="H117" s="23">
        <f t="shared" si="1"/>
        <v>8750</v>
      </c>
      <c r="I117" s="28" t="s">
        <v>9</v>
      </c>
      <c r="J117" s="13" t="s">
        <v>15</v>
      </c>
      <c r="K117" s="28" t="s">
        <v>245</v>
      </c>
    </row>
    <row r="118" spans="1:11" ht="30.75" customHeight="1" x14ac:dyDescent="0.25">
      <c r="A118" s="22" t="s">
        <v>44</v>
      </c>
      <c r="B118" s="28">
        <v>47450874</v>
      </c>
      <c r="C118" s="28">
        <v>47450895</v>
      </c>
      <c r="D118" s="26">
        <v>45965</v>
      </c>
      <c r="E118" s="29">
        <v>12618216</v>
      </c>
      <c r="F118" s="28" t="s">
        <v>27</v>
      </c>
      <c r="G118" s="32">
        <v>25000</v>
      </c>
      <c r="H118" s="23">
        <f t="shared" si="1"/>
        <v>8750</v>
      </c>
      <c r="I118" s="28" t="s">
        <v>9</v>
      </c>
      <c r="J118" s="13" t="s">
        <v>15</v>
      </c>
      <c r="K118" s="28" t="s">
        <v>246</v>
      </c>
    </row>
    <row r="119" spans="1:11" ht="30.75" customHeight="1" x14ac:dyDescent="0.25">
      <c r="A119" s="22" t="s">
        <v>44</v>
      </c>
      <c r="B119" s="28">
        <v>47451072</v>
      </c>
      <c r="C119" s="28">
        <v>47451088</v>
      </c>
      <c r="D119" s="26">
        <v>45965</v>
      </c>
      <c r="E119" s="29">
        <v>12618216</v>
      </c>
      <c r="F119" s="28" t="s">
        <v>27</v>
      </c>
      <c r="G119" s="32">
        <v>25000</v>
      </c>
      <c r="H119" s="23">
        <f t="shared" si="1"/>
        <v>8750</v>
      </c>
      <c r="I119" s="28" t="s">
        <v>9</v>
      </c>
      <c r="J119" s="13" t="s">
        <v>15</v>
      </c>
      <c r="K119" s="28" t="s">
        <v>247</v>
      </c>
    </row>
    <row r="120" spans="1:11" ht="30.75" customHeight="1" x14ac:dyDescent="0.25">
      <c r="A120" s="22" t="s">
        <v>44</v>
      </c>
      <c r="B120" s="28">
        <v>47451141</v>
      </c>
      <c r="C120" s="28">
        <v>47451153</v>
      </c>
      <c r="D120" s="26">
        <v>45965</v>
      </c>
      <c r="E120" s="29">
        <v>12618216</v>
      </c>
      <c r="F120" s="28" t="s">
        <v>27</v>
      </c>
      <c r="G120" s="32">
        <v>25000</v>
      </c>
      <c r="H120" s="23">
        <f t="shared" si="1"/>
        <v>8750</v>
      </c>
      <c r="I120" s="28" t="s">
        <v>9</v>
      </c>
      <c r="J120" s="13" t="s">
        <v>15</v>
      </c>
      <c r="K120" s="28" t="s">
        <v>248</v>
      </c>
    </row>
    <row r="121" spans="1:11" ht="30.75" customHeight="1" x14ac:dyDescent="0.25">
      <c r="A121" s="22" t="s">
        <v>44</v>
      </c>
      <c r="B121" s="28">
        <v>47451256</v>
      </c>
      <c r="C121" s="28">
        <v>47451271</v>
      </c>
      <c r="D121" s="26">
        <v>45965</v>
      </c>
      <c r="E121" s="29">
        <v>12618216</v>
      </c>
      <c r="F121" s="28" t="s">
        <v>27</v>
      </c>
      <c r="G121" s="32">
        <v>25000</v>
      </c>
      <c r="H121" s="23">
        <f t="shared" si="1"/>
        <v>8750</v>
      </c>
      <c r="I121" s="28" t="s">
        <v>9</v>
      </c>
      <c r="J121" s="13" t="s">
        <v>15</v>
      </c>
      <c r="K121" s="28" t="s">
        <v>249</v>
      </c>
    </row>
    <row r="122" spans="1:11" ht="30.75" customHeight="1" x14ac:dyDescent="0.25">
      <c r="A122" s="22" t="s">
        <v>44</v>
      </c>
      <c r="B122" s="28">
        <v>47451335</v>
      </c>
      <c r="C122" s="28">
        <v>47451354</v>
      </c>
      <c r="D122" s="26">
        <v>45965</v>
      </c>
      <c r="E122" s="29">
        <v>12618216</v>
      </c>
      <c r="F122" s="28" t="s">
        <v>27</v>
      </c>
      <c r="G122" s="32">
        <v>25000</v>
      </c>
      <c r="H122" s="23">
        <f t="shared" si="1"/>
        <v>8750</v>
      </c>
      <c r="I122" s="28" t="s">
        <v>9</v>
      </c>
      <c r="J122" s="13" t="s">
        <v>15</v>
      </c>
      <c r="K122" s="28" t="s">
        <v>250</v>
      </c>
    </row>
    <row r="123" spans="1:11" ht="30.75" customHeight="1" x14ac:dyDescent="0.25">
      <c r="A123" s="22" t="s">
        <v>44</v>
      </c>
      <c r="B123" s="28">
        <v>47451639</v>
      </c>
      <c r="C123" s="28">
        <v>47451662</v>
      </c>
      <c r="D123" s="26">
        <v>45965</v>
      </c>
      <c r="E123" s="29">
        <v>12618216</v>
      </c>
      <c r="F123" s="28" t="s">
        <v>27</v>
      </c>
      <c r="G123" s="32">
        <v>25000</v>
      </c>
      <c r="H123" s="23">
        <f t="shared" si="1"/>
        <v>8750</v>
      </c>
      <c r="I123" s="28" t="s">
        <v>9</v>
      </c>
      <c r="J123" s="13" t="s">
        <v>15</v>
      </c>
      <c r="K123" s="28" t="s">
        <v>251</v>
      </c>
    </row>
    <row r="124" spans="1:11" ht="30.75" customHeight="1" x14ac:dyDescent="0.25">
      <c r="A124" s="22" t="s">
        <v>44</v>
      </c>
      <c r="B124" s="28">
        <v>47451688</v>
      </c>
      <c r="C124" s="28">
        <v>47451705</v>
      </c>
      <c r="D124" s="26">
        <v>45965</v>
      </c>
      <c r="E124" s="29">
        <v>12618216</v>
      </c>
      <c r="F124" s="28" t="s">
        <v>27</v>
      </c>
      <c r="G124" s="32">
        <v>25000</v>
      </c>
      <c r="H124" s="23">
        <f t="shared" si="1"/>
        <v>8750</v>
      </c>
      <c r="I124" s="28" t="s">
        <v>9</v>
      </c>
      <c r="J124" s="13" t="s">
        <v>15</v>
      </c>
      <c r="K124" s="28" t="s">
        <v>252</v>
      </c>
    </row>
    <row r="125" spans="1:11" ht="30.75" customHeight="1" x14ac:dyDescent="0.25">
      <c r="A125" s="22" t="s">
        <v>44</v>
      </c>
      <c r="B125" s="28">
        <v>47463688</v>
      </c>
      <c r="C125" s="28">
        <v>47463690</v>
      </c>
      <c r="D125" s="26">
        <v>45966</v>
      </c>
      <c r="E125" s="29">
        <v>1193230361</v>
      </c>
      <c r="F125" s="28" t="s">
        <v>53</v>
      </c>
      <c r="G125" s="32">
        <v>25000</v>
      </c>
      <c r="H125" s="23">
        <f t="shared" si="1"/>
        <v>8750</v>
      </c>
      <c r="I125" s="28" t="s">
        <v>9</v>
      </c>
      <c r="J125" s="13" t="s">
        <v>15</v>
      </c>
      <c r="K125" s="28" t="s">
        <v>253</v>
      </c>
    </row>
    <row r="126" spans="1:11" ht="30.75" customHeight="1" x14ac:dyDescent="0.25">
      <c r="A126" s="22" t="s">
        <v>44</v>
      </c>
      <c r="B126" s="28">
        <v>47463709</v>
      </c>
      <c r="C126" s="28">
        <v>47463716</v>
      </c>
      <c r="D126" s="26">
        <v>45966</v>
      </c>
      <c r="E126" s="29">
        <v>1193230361</v>
      </c>
      <c r="F126" s="28" t="s">
        <v>53</v>
      </c>
      <c r="G126" s="32">
        <v>25000</v>
      </c>
      <c r="H126" s="23">
        <f t="shared" si="1"/>
        <v>8750</v>
      </c>
      <c r="I126" s="28" t="s">
        <v>9</v>
      </c>
      <c r="J126" s="13" t="s">
        <v>15</v>
      </c>
      <c r="K126" s="28" t="s">
        <v>254</v>
      </c>
    </row>
    <row r="127" spans="1:11" ht="30.75" customHeight="1" x14ac:dyDescent="0.25">
      <c r="A127" s="22" t="s">
        <v>44</v>
      </c>
      <c r="B127" s="28">
        <v>47463768</v>
      </c>
      <c r="C127" s="28">
        <v>47463777</v>
      </c>
      <c r="D127" s="26">
        <v>45965</v>
      </c>
      <c r="E127" s="29">
        <v>85260647</v>
      </c>
      <c r="F127" s="28" t="s">
        <v>30</v>
      </c>
      <c r="G127" s="32">
        <v>25000</v>
      </c>
      <c r="H127" s="23">
        <f t="shared" si="1"/>
        <v>8750</v>
      </c>
      <c r="I127" s="28" t="s">
        <v>9</v>
      </c>
      <c r="J127" s="13" t="s">
        <v>15</v>
      </c>
      <c r="K127" s="28" t="s">
        <v>255</v>
      </c>
    </row>
    <row r="128" spans="1:11" ht="30.75" customHeight="1" x14ac:dyDescent="0.25">
      <c r="A128" s="22" t="s">
        <v>44</v>
      </c>
      <c r="B128" s="28">
        <v>47463806</v>
      </c>
      <c r="C128" s="28">
        <v>47463813</v>
      </c>
      <c r="D128" s="26">
        <v>45965</v>
      </c>
      <c r="E128" s="29">
        <v>85260647</v>
      </c>
      <c r="F128" s="28" t="s">
        <v>30</v>
      </c>
      <c r="G128" s="32">
        <v>25000</v>
      </c>
      <c r="H128" s="23">
        <f t="shared" si="1"/>
        <v>8750</v>
      </c>
      <c r="I128" s="28" t="s">
        <v>9</v>
      </c>
      <c r="J128" s="13" t="s">
        <v>15</v>
      </c>
      <c r="K128" s="28" t="s">
        <v>256</v>
      </c>
    </row>
    <row r="129" spans="1:11" ht="30.75" customHeight="1" x14ac:dyDescent="0.25">
      <c r="A129" s="22" t="s">
        <v>44</v>
      </c>
      <c r="B129" s="28">
        <v>47473152</v>
      </c>
      <c r="C129" s="28">
        <v>47473312</v>
      </c>
      <c r="D129" s="26">
        <v>45966</v>
      </c>
      <c r="E129" s="29">
        <v>65739190</v>
      </c>
      <c r="F129" s="28" t="s">
        <v>58</v>
      </c>
      <c r="G129" s="32">
        <v>163100</v>
      </c>
      <c r="H129" s="23">
        <f t="shared" si="1"/>
        <v>57085</v>
      </c>
      <c r="I129" s="28" t="s">
        <v>11</v>
      </c>
      <c r="J129" s="13" t="s">
        <v>13</v>
      </c>
      <c r="K129" s="28" t="s">
        <v>257</v>
      </c>
    </row>
    <row r="130" spans="1:11" ht="30.75" customHeight="1" x14ac:dyDescent="0.25">
      <c r="A130" s="22" t="s">
        <v>44</v>
      </c>
      <c r="B130" s="28">
        <v>47476503</v>
      </c>
      <c r="C130" s="28">
        <v>47476611</v>
      </c>
      <c r="D130" s="26">
        <v>45966</v>
      </c>
      <c r="E130" s="29">
        <v>83091792</v>
      </c>
      <c r="F130" s="28" t="s">
        <v>59</v>
      </c>
      <c r="G130" s="32">
        <v>339000</v>
      </c>
      <c r="H130" s="23">
        <f t="shared" si="1"/>
        <v>118649.99999999999</v>
      </c>
      <c r="I130" s="28" t="s">
        <v>11</v>
      </c>
      <c r="J130" s="13" t="s">
        <v>13</v>
      </c>
      <c r="K130" s="28" t="s">
        <v>258</v>
      </c>
    </row>
    <row r="131" spans="1:11" ht="30.75" customHeight="1" x14ac:dyDescent="0.25">
      <c r="A131" s="22" t="s">
        <v>44</v>
      </c>
      <c r="B131" s="28">
        <v>47477185</v>
      </c>
      <c r="C131" s="28">
        <v>47477211</v>
      </c>
      <c r="D131" s="26">
        <v>45966</v>
      </c>
      <c r="E131" s="29">
        <v>4611618</v>
      </c>
      <c r="F131" s="28" t="s">
        <v>60</v>
      </c>
      <c r="G131" s="32">
        <v>205900</v>
      </c>
      <c r="H131" s="23">
        <f t="shared" si="1"/>
        <v>72065</v>
      </c>
      <c r="I131" s="28" t="s">
        <v>11</v>
      </c>
      <c r="J131" s="13" t="s">
        <v>13</v>
      </c>
      <c r="K131" s="28" t="s">
        <v>259</v>
      </c>
    </row>
    <row r="132" spans="1:11" ht="30.75" customHeight="1" x14ac:dyDescent="0.25">
      <c r="A132" s="22" t="s">
        <v>44</v>
      </c>
      <c r="B132" s="28">
        <v>47477376</v>
      </c>
      <c r="C132" s="28">
        <v>47477413</v>
      </c>
      <c r="D132" s="26">
        <v>45966</v>
      </c>
      <c r="E132" s="29">
        <v>1128187828</v>
      </c>
      <c r="F132" s="28" t="s">
        <v>61</v>
      </c>
      <c r="G132" s="32">
        <v>444900</v>
      </c>
      <c r="H132" s="23">
        <f t="shared" si="1"/>
        <v>155715</v>
      </c>
      <c r="I132" s="28" t="s">
        <v>11</v>
      </c>
      <c r="J132" s="13" t="s">
        <v>13</v>
      </c>
      <c r="K132" s="28" t="s">
        <v>260</v>
      </c>
    </row>
    <row r="133" spans="1:11" ht="30.75" customHeight="1" x14ac:dyDescent="0.25">
      <c r="A133" s="22" t="s">
        <v>44</v>
      </c>
      <c r="B133" s="28">
        <v>47477567</v>
      </c>
      <c r="C133" s="28">
        <v>47477621</v>
      </c>
      <c r="D133" s="26">
        <v>45966</v>
      </c>
      <c r="E133" s="29">
        <v>8164574</v>
      </c>
      <c r="F133" s="28" t="s">
        <v>62</v>
      </c>
      <c r="G133" s="32">
        <v>156800</v>
      </c>
      <c r="H133" s="23">
        <f t="shared" ref="H133:H196" si="2">+G133*35%</f>
        <v>54880</v>
      </c>
      <c r="I133" s="28" t="s">
        <v>11</v>
      </c>
      <c r="J133" s="13" t="s">
        <v>13</v>
      </c>
      <c r="K133" s="28" t="s">
        <v>261</v>
      </c>
    </row>
    <row r="134" spans="1:11" ht="30.75" customHeight="1" x14ac:dyDescent="0.25">
      <c r="A134" s="22" t="s">
        <v>44</v>
      </c>
      <c r="B134" s="28">
        <v>47477793</v>
      </c>
      <c r="C134" s="28">
        <v>47477823</v>
      </c>
      <c r="D134" s="26">
        <v>45966</v>
      </c>
      <c r="E134" s="29">
        <v>1061689050</v>
      </c>
      <c r="F134" s="28" t="s">
        <v>63</v>
      </c>
      <c r="G134" s="32">
        <v>228400</v>
      </c>
      <c r="H134" s="23">
        <f t="shared" si="2"/>
        <v>79940</v>
      </c>
      <c r="I134" s="28" t="s">
        <v>11</v>
      </c>
      <c r="J134" s="13" t="s">
        <v>13</v>
      </c>
      <c r="K134" s="28" t="s">
        <v>262</v>
      </c>
    </row>
    <row r="135" spans="1:11" ht="30.75" customHeight="1" x14ac:dyDescent="0.25">
      <c r="A135" s="22" t="s">
        <v>44</v>
      </c>
      <c r="B135" s="28">
        <v>47479961</v>
      </c>
      <c r="C135" s="28">
        <v>47480175</v>
      </c>
      <c r="D135" s="26">
        <v>45967</v>
      </c>
      <c r="E135" s="29">
        <v>74369676</v>
      </c>
      <c r="F135" s="28" t="s">
        <v>64</v>
      </c>
      <c r="G135" s="32">
        <v>99800</v>
      </c>
      <c r="H135" s="23">
        <f t="shared" si="2"/>
        <v>34930</v>
      </c>
      <c r="I135" s="28" t="s">
        <v>11</v>
      </c>
      <c r="J135" s="13" t="s">
        <v>13</v>
      </c>
      <c r="K135" s="28" t="s">
        <v>263</v>
      </c>
    </row>
    <row r="136" spans="1:11" ht="30.75" customHeight="1" x14ac:dyDescent="0.25">
      <c r="A136" s="22" t="s">
        <v>44</v>
      </c>
      <c r="B136" s="28">
        <v>47470537</v>
      </c>
      <c r="C136" s="28">
        <v>47475548</v>
      </c>
      <c r="D136" s="26">
        <v>45967</v>
      </c>
      <c r="E136" s="29">
        <v>39048685</v>
      </c>
      <c r="F136" s="28" t="s">
        <v>65</v>
      </c>
      <c r="G136" s="32">
        <v>96900</v>
      </c>
      <c r="H136" s="23">
        <f t="shared" si="2"/>
        <v>33915</v>
      </c>
      <c r="I136" s="28" t="s">
        <v>11</v>
      </c>
      <c r="J136" s="13" t="s">
        <v>13</v>
      </c>
      <c r="K136" s="28" t="s">
        <v>264</v>
      </c>
    </row>
    <row r="137" spans="1:11" ht="30.75" customHeight="1" x14ac:dyDescent="0.25">
      <c r="A137" s="22" t="s">
        <v>44</v>
      </c>
      <c r="B137" s="28">
        <v>47485690</v>
      </c>
      <c r="C137" s="28">
        <v>47485741</v>
      </c>
      <c r="D137" s="26">
        <v>45967</v>
      </c>
      <c r="E137" s="29">
        <v>74423485</v>
      </c>
      <c r="F137" s="28" t="s">
        <v>66</v>
      </c>
      <c r="G137" s="32">
        <v>120000</v>
      </c>
      <c r="H137" s="23">
        <f t="shared" si="2"/>
        <v>42000</v>
      </c>
      <c r="I137" s="28" t="s">
        <v>11</v>
      </c>
      <c r="J137" s="13" t="s">
        <v>13</v>
      </c>
      <c r="K137" s="28" t="s">
        <v>265</v>
      </c>
    </row>
    <row r="138" spans="1:11" ht="30.75" customHeight="1" x14ac:dyDescent="0.25">
      <c r="A138" s="22" t="s">
        <v>44</v>
      </c>
      <c r="B138" s="28">
        <v>47486889</v>
      </c>
      <c r="C138" s="28">
        <v>47486970</v>
      </c>
      <c r="D138" s="26">
        <v>45967</v>
      </c>
      <c r="E138" s="29">
        <v>19706804</v>
      </c>
      <c r="F138" s="28" t="s">
        <v>67</v>
      </c>
      <c r="G138" s="32">
        <v>1753100</v>
      </c>
      <c r="H138" s="23">
        <f t="shared" si="2"/>
        <v>613585</v>
      </c>
      <c r="I138" s="28" t="s">
        <v>11</v>
      </c>
      <c r="J138" s="13" t="s">
        <v>13</v>
      </c>
      <c r="K138" s="28" t="s">
        <v>266</v>
      </c>
    </row>
    <row r="139" spans="1:11" ht="30.75" customHeight="1" x14ac:dyDescent="0.25">
      <c r="A139" s="22" t="s">
        <v>44</v>
      </c>
      <c r="B139" s="28">
        <v>47488399</v>
      </c>
      <c r="C139" s="28">
        <v>47488412</v>
      </c>
      <c r="D139" s="26">
        <v>45967</v>
      </c>
      <c r="E139" s="29">
        <v>7699102</v>
      </c>
      <c r="F139" s="28" t="s">
        <v>68</v>
      </c>
      <c r="G139" s="32">
        <v>90000</v>
      </c>
      <c r="H139" s="23">
        <f t="shared" si="2"/>
        <v>31499.999999999996</v>
      </c>
      <c r="I139" s="28" t="s">
        <v>10</v>
      </c>
      <c r="J139" s="13" t="s">
        <v>26</v>
      </c>
      <c r="K139" s="28" t="s">
        <v>267</v>
      </c>
    </row>
    <row r="140" spans="1:11" ht="30.75" customHeight="1" x14ac:dyDescent="0.25">
      <c r="A140" s="22" t="s">
        <v>44</v>
      </c>
      <c r="B140" s="28">
        <v>47488568</v>
      </c>
      <c r="C140" s="28">
        <v>47488650</v>
      </c>
      <c r="D140" s="26">
        <v>45967</v>
      </c>
      <c r="E140" s="29">
        <v>7699102</v>
      </c>
      <c r="F140" s="28" t="s">
        <v>68</v>
      </c>
      <c r="G140" s="32">
        <v>90000</v>
      </c>
      <c r="H140" s="23">
        <f t="shared" si="2"/>
        <v>31499.999999999996</v>
      </c>
      <c r="I140" s="28" t="s">
        <v>10</v>
      </c>
      <c r="J140" s="13" t="s">
        <v>26</v>
      </c>
      <c r="K140" s="28" t="s">
        <v>268</v>
      </c>
    </row>
    <row r="141" spans="1:11" ht="30.75" customHeight="1" x14ac:dyDescent="0.25">
      <c r="A141" s="22" t="s">
        <v>44</v>
      </c>
      <c r="B141" s="28">
        <v>47493983</v>
      </c>
      <c r="C141" s="28">
        <v>47494017</v>
      </c>
      <c r="D141" s="26">
        <v>45967</v>
      </c>
      <c r="E141" s="29">
        <v>85487684</v>
      </c>
      <c r="F141" s="28" t="s">
        <v>39</v>
      </c>
      <c r="G141" s="32">
        <v>192000</v>
      </c>
      <c r="H141" s="23">
        <f t="shared" si="2"/>
        <v>67200</v>
      </c>
      <c r="I141" s="28" t="s">
        <v>11</v>
      </c>
      <c r="J141" s="13" t="s">
        <v>13</v>
      </c>
      <c r="K141" s="28" t="s">
        <v>269</v>
      </c>
    </row>
    <row r="142" spans="1:11" ht="30.75" customHeight="1" x14ac:dyDescent="0.25">
      <c r="A142" s="22" t="s">
        <v>44</v>
      </c>
      <c r="B142" s="28">
        <v>47469719</v>
      </c>
      <c r="C142" s="28">
        <v>47469734</v>
      </c>
      <c r="D142" s="26">
        <v>45967</v>
      </c>
      <c r="E142" s="29">
        <v>40433555</v>
      </c>
      <c r="F142" s="28" t="s">
        <v>52</v>
      </c>
      <c r="G142" s="32">
        <v>40000</v>
      </c>
      <c r="H142" s="23">
        <f t="shared" si="2"/>
        <v>14000</v>
      </c>
      <c r="I142" s="28" t="s">
        <v>9</v>
      </c>
      <c r="J142" s="13" t="s">
        <v>15</v>
      </c>
      <c r="K142" s="28" t="s">
        <v>270</v>
      </c>
    </row>
    <row r="143" spans="1:11" ht="30.75" customHeight="1" x14ac:dyDescent="0.25">
      <c r="A143" s="22" t="s">
        <v>44</v>
      </c>
      <c r="B143" s="28">
        <v>47469768</v>
      </c>
      <c r="C143" s="28">
        <v>47469773</v>
      </c>
      <c r="D143" s="26">
        <v>45967</v>
      </c>
      <c r="E143" s="29">
        <v>40433555</v>
      </c>
      <c r="F143" s="28" t="s">
        <v>52</v>
      </c>
      <c r="G143" s="32">
        <v>40000</v>
      </c>
      <c r="H143" s="23">
        <f t="shared" si="2"/>
        <v>14000</v>
      </c>
      <c r="I143" s="28" t="s">
        <v>9</v>
      </c>
      <c r="J143" s="13" t="s">
        <v>15</v>
      </c>
      <c r="K143" s="28" t="s">
        <v>271</v>
      </c>
    </row>
    <row r="144" spans="1:11" ht="30.75" customHeight="1" x14ac:dyDescent="0.25">
      <c r="A144" s="22" t="s">
        <v>44</v>
      </c>
      <c r="B144" s="28">
        <v>47469915</v>
      </c>
      <c r="C144" s="28">
        <v>47469921</v>
      </c>
      <c r="D144" s="26">
        <v>45967</v>
      </c>
      <c r="E144" s="29">
        <v>40433555</v>
      </c>
      <c r="F144" s="28" t="s">
        <v>52</v>
      </c>
      <c r="G144" s="32">
        <v>40000</v>
      </c>
      <c r="H144" s="23">
        <f t="shared" si="2"/>
        <v>14000</v>
      </c>
      <c r="I144" s="28" t="s">
        <v>9</v>
      </c>
      <c r="J144" s="13" t="s">
        <v>15</v>
      </c>
      <c r="K144" s="28" t="s">
        <v>272</v>
      </c>
    </row>
    <row r="145" spans="1:11" ht="30.75" customHeight="1" x14ac:dyDescent="0.25">
      <c r="A145" s="22" t="s">
        <v>44</v>
      </c>
      <c r="B145" s="28">
        <v>47469977</v>
      </c>
      <c r="C145" s="28">
        <v>47469981</v>
      </c>
      <c r="D145" s="26">
        <v>45967</v>
      </c>
      <c r="E145" s="29">
        <v>40433555</v>
      </c>
      <c r="F145" s="28" t="s">
        <v>52</v>
      </c>
      <c r="G145" s="32">
        <v>40000</v>
      </c>
      <c r="H145" s="23">
        <f t="shared" si="2"/>
        <v>14000</v>
      </c>
      <c r="I145" s="28" t="s">
        <v>9</v>
      </c>
      <c r="J145" s="13" t="s">
        <v>15</v>
      </c>
      <c r="K145" s="28" t="s">
        <v>273</v>
      </c>
    </row>
    <row r="146" spans="1:11" ht="30.75" customHeight="1" x14ac:dyDescent="0.25">
      <c r="A146" s="22" t="s">
        <v>44</v>
      </c>
      <c r="B146" s="28">
        <v>47470055</v>
      </c>
      <c r="C146" s="28">
        <v>47470062</v>
      </c>
      <c r="D146" s="26">
        <v>45967</v>
      </c>
      <c r="E146" s="29">
        <v>40433555</v>
      </c>
      <c r="F146" s="28" t="s">
        <v>52</v>
      </c>
      <c r="G146" s="32">
        <v>40000</v>
      </c>
      <c r="H146" s="23">
        <f t="shared" si="2"/>
        <v>14000</v>
      </c>
      <c r="I146" s="28" t="s">
        <v>9</v>
      </c>
      <c r="J146" s="13" t="s">
        <v>15</v>
      </c>
      <c r="K146" s="28" t="s">
        <v>274</v>
      </c>
    </row>
    <row r="147" spans="1:11" ht="30.75" customHeight="1" x14ac:dyDescent="0.25">
      <c r="A147" s="22" t="s">
        <v>44</v>
      </c>
      <c r="B147" s="28">
        <v>47470120</v>
      </c>
      <c r="C147" s="28">
        <v>47470127</v>
      </c>
      <c r="D147" s="26">
        <v>45967</v>
      </c>
      <c r="E147" s="29">
        <v>40433555</v>
      </c>
      <c r="F147" s="28" t="s">
        <v>52</v>
      </c>
      <c r="G147" s="32">
        <v>40000</v>
      </c>
      <c r="H147" s="23">
        <f t="shared" si="2"/>
        <v>14000</v>
      </c>
      <c r="I147" s="28" t="s">
        <v>9</v>
      </c>
      <c r="J147" s="13" t="s">
        <v>15</v>
      </c>
      <c r="K147" s="28" t="s">
        <v>275</v>
      </c>
    </row>
    <row r="148" spans="1:11" ht="30.75" customHeight="1" x14ac:dyDescent="0.25">
      <c r="A148" s="22" t="s">
        <v>44</v>
      </c>
      <c r="B148" s="28">
        <v>47470414</v>
      </c>
      <c r="C148" s="28">
        <v>47470418</v>
      </c>
      <c r="D148" s="26">
        <v>45967</v>
      </c>
      <c r="E148" s="29">
        <v>40433555</v>
      </c>
      <c r="F148" s="28" t="s">
        <v>52</v>
      </c>
      <c r="G148" s="32">
        <v>40000</v>
      </c>
      <c r="H148" s="23">
        <f t="shared" si="2"/>
        <v>14000</v>
      </c>
      <c r="I148" s="28" t="s">
        <v>9</v>
      </c>
      <c r="J148" s="13" t="s">
        <v>15</v>
      </c>
      <c r="K148" s="28" t="s">
        <v>276</v>
      </c>
    </row>
    <row r="149" spans="1:11" ht="30.75" customHeight="1" x14ac:dyDescent="0.25">
      <c r="A149" s="22" t="s">
        <v>44</v>
      </c>
      <c r="B149" s="28">
        <v>47470478</v>
      </c>
      <c r="C149" s="28">
        <v>47470490</v>
      </c>
      <c r="D149" s="26">
        <v>45967</v>
      </c>
      <c r="E149" s="29">
        <v>40433555</v>
      </c>
      <c r="F149" s="28" t="s">
        <v>52</v>
      </c>
      <c r="G149" s="32">
        <v>40000</v>
      </c>
      <c r="H149" s="23">
        <f t="shared" si="2"/>
        <v>14000</v>
      </c>
      <c r="I149" s="28" t="s">
        <v>9</v>
      </c>
      <c r="J149" s="13" t="s">
        <v>15</v>
      </c>
      <c r="K149" s="28" t="s">
        <v>277</v>
      </c>
    </row>
    <row r="150" spans="1:11" ht="30.75" customHeight="1" x14ac:dyDescent="0.25">
      <c r="A150" s="22" t="s">
        <v>44</v>
      </c>
      <c r="B150" s="28">
        <v>47470541</v>
      </c>
      <c r="C150" s="28">
        <v>47470546</v>
      </c>
      <c r="D150" s="26">
        <v>45967</v>
      </c>
      <c r="E150" s="29">
        <v>40433555</v>
      </c>
      <c r="F150" s="28" t="s">
        <v>52</v>
      </c>
      <c r="G150" s="32">
        <v>40000</v>
      </c>
      <c r="H150" s="23">
        <f t="shared" si="2"/>
        <v>14000</v>
      </c>
      <c r="I150" s="28" t="s">
        <v>9</v>
      </c>
      <c r="J150" s="13" t="s">
        <v>15</v>
      </c>
      <c r="K150" s="28" t="s">
        <v>278</v>
      </c>
    </row>
    <row r="151" spans="1:11" ht="30.75" customHeight="1" x14ac:dyDescent="0.25">
      <c r="A151" s="22" t="s">
        <v>44</v>
      </c>
      <c r="B151" s="28">
        <v>47470617</v>
      </c>
      <c r="C151" s="28">
        <v>47470620</v>
      </c>
      <c r="D151" s="26">
        <v>45967</v>
      </c>
      <c r="E151" s="29">
        <v>40433555</v>
      </c>
      <c r="F151" s="28" t="s">
        <v>52</v>
      </c>
      <c r="G151" s="32">
        <v>40000</v>
      </c>
      <c r="H151" s="23">
        <f t="shared" si="2"/>
        <v>14000</v>
      </c>
      <c r="I151" s="28" t="s">
        <v>9</v>
      </c>
      <c r="J151" s="13" t="s">
        <v>15</v>
      </c>
      <c r="K151" s="28" t="s">
        <v>279</v>
      </c>
    </row>
    <row r="152" spans="1:11" ht="30.75" customHeight="1" x14ac:dyDescent="0.25">
      <c r="A152" s="22" t="s">
        <v>44</v>
      </c>
      <c r="B152" s="28">
        <v>47470692</v>
      </c>
      <c r="C152" s="28">
        <v>47470704</v>
      </c>
      <c r="D152" s="26">
        <v>45967</v>
      </c>
      <c r="E152" s="29">
        <v>40433555</v>
      </c>
      <c r="F152" s="28" t="s">
        <v>52</v>
      </c>
      <c r="G152" s="32">
        <v>40000</v>
      </c>
      <c r="H152" s="23">
        <f t="shared" si="2"/>
        <v>14000</v>
      </c>
      <c r="I152" s="28" t="s">
        <v>9</v>
      </c>
      <c r="J152" s="13" t="s">
        <v>15</v>
      </c>
      <c r="K152" s="28" t="s">
        <v>280</v>
      </c>
    </row>
    <row r="153" spans="1:11" ht="30.75" customHeight="1" x14ac:dyDescent="0.25">
      <c r="A153" s="22" t="s">
        <v>44</v>
      </c>
      <c r="B153" s="28">
        <v>47470729</v>
      </c>
      <c r="C153" s="28">
        <v>47470766</v>
      </c>
      <c r="D153" s="26">
        <v>45967</v>
      </c>
      <c r="E153" s="29">
        <v>40433555</v>
      </c>
      <c r="F153" s="28" t="s">
        <v>52</v>
      </c>
      <c r="G153" s="32">
        <v>40000</v>
      </c>
      <c r="H153" s="23">
        <f t="shared" si="2"/>
        <v>14000</v>
      </c>
      <c r="I153" s="28" t="s">
        <v>9</v>
      </c>
      <c r="J153" s="13" t="s">
        <v>15</v>
      </c>
      <c r="K153" s="28" t="s">
        <v>281</v>
      </c>
    </row>
    <row r="154" spans="1:11" ht="30.75" customHeight="1" x14ac:dyDescent="0.25">
      <c r="A154" s="22" t="s">
        <v>44</v>
      </c>
      <c r="B154" s="28">
        <v>47470812</v>
      </c>
      <c r="C154" s="28">
        <v>47470824</v>
      </c>
      <c r="D154" s="26">
        <v>45967</v>
      </c>
      <c r="E154" s="29">
        <v>40433555</v>
      </c>
      <c r="F154" s="28" t="s">
        <v>52</v>
      </c>
      <c r="G154" s="32">
        <v>40000</v>
      </c>
      <c r="H154" s="23">
        <f t="shared" si="2"/>
        <v>14000</v>
      </c>
      <c r="I154" s="28" t="s">
        <v>9</v>
      </c>
      <c r="J154" s="13" t="s">
        <v>15</v>
      </c>
      <c r="K154" s="28" t="s">
        <v>282</v>
      </c>
    </row>
    <row r="155" spans="1:11" ht="30.75" customHeight="1" x14ac:dyDescent="0.25">
      <c r="A155" s="22" t="s">
        <v>44</v>
      </c>
      <c r="B155" s="28">
        <v>47470882</v>
      </c>
      <c r="C155" s="28">
        <v>47470888</v>
      </c>
      <c r="D155" s="26">
        <v>45967</v>
      </c>
      <c r="E155" s="29">
        <v>40433555</v>
      </c>
      <c r="F155" s="28" t="s">
        <v>52</v>
      </c>
      <c r="G155" s="32">
        <v>40000</v>
      </c>
      <c r="H155" s="23">
        <f t="shared" si="2"/>
        <v>14000</v>
      </c>
      <c r="I155" s="28" t="s">
        <v>9</v>
      </c>
      <c r="J155" s="13" t="s">
        <v>15</v>
      </c>
      <c r="K155" s="28" t="s">
        <v>283</v>
      </c>
    </row>
    <row r="156" spans="1:11" ht="30.75" customHeight="1" x14ac:dyDescent="0.25">
      <c r="A156" s="22" t="s">
        <v>44</v>
      </c>
      <c r="B156" s="28">
        <v>47470932</v>
      </c>
      <c r="C156" s="28">
        <v>47470936</v>
      </c>
      <c r="D156" s="26">
        <v>45967</v>
      </c>
      <c r="E156" s="29">
        <v>40433555</v>
      </c>
      <c r="F156" s="28" t="s">
        <v>52</v>
      </c>
      <c r="G156" s="32">
        <v>40000</v>
      </c>
      <c r="H156" s="23">
        <f t="shared" si="2"/>
        <v>14000</v>
      </c>
      <c r="I156" s="28" t="s">
        <v>9</v>
      </c>
      <c r="J156" s="13" t="s">
        <v>15</v>
      </c>
      <c r="K156" s="28" t="s">
        <v>284</v>
      </c>
    </row>
    <row r="157" spans="1:11" ht="30.75" customHeight="1" x14ac:dyDescent="0.25">
      <c r="A157" s="22" t="s">
        <v>44</v>
      </c>
      <c r="B157" s="28">
        <v>47470977</v>
      </c>
      <c r="C157" s="28">
        <v>47470980</v>
      </c>
      <c r="D157" s="26">
        <v>45967</v>
      </c>
      <c r="E157" s="29">
        <v>40433555</v>
      </c>
      <c r="F157" s="28" t="s">
        <v>52</v>
      </c>
      <c r="G157" s="32">
        <v>40000</v>
      </c>
      <c r="H157" s="23">
        <f t="shared" si="2"/>
        <v>14000</v>
      </c>
      <c r="I157" s="28" t="s">
        <v>9</v>
      </c>
      <c r="J157" s="13" t="s">
        <v>15</v>
      </c>
      <c r="K157" s="28" t="s">
        <v>285</v>
      </c>
    </row>
    <row r="158" spans="1:11" ht="30.75" customHeight="1" x14ac:dyDescent="0.25">
      <c r="A158" s="22" t="s">
        <v>44</v>
      </c>
      <c r="B158" s="28">
        <v>47471082</v>
      </c>
      <c r="C158" s="28">
        <v>47471088</v>
      </c>
      <c r="D158" s="26">
        <v>45967</v>
      </c>
      <c r="E158" s="29">
        <v>40433555</v>
      </c>
      <c r="F158" s="28" t="s">
        <v>52</v>
      </c>
      <c r="G158" s="32">
        <v>40000</v>
      </c>
      <c r="H158" s="23">
        <f t="shared" si="2"/>
        <v>14000</v>
      </c>
      <c r="I158" s="28" t="s">
        <v>9</v>
      </c>
      <c r="J158" s="13" t="s">
        <v>15</v>
      </c>
      <c r="K158" s="28" t="s">
        <v>286</v>
      </c>
    </row>
    <row r="159" spans="1:11" ht="30.75" customHeight="1" x14ac:dyDescent="0.25">
      <c r="A159" s="22" t="s">
        <v>44</v>
      </c>
      <c r="B159" s="28">
        <v>47471183</v>
      </c>
      <c r="C159" s="28">
        <v>47471186</v>
      </c>
      <c r="D159" s="26">
        <v>45967</v>
      </c>
      <c r="E159" s="29">
        <v>40433555</v>
      </c>
      <c r="F159" s="28" t="s">
        <v>52</v>
      </c>
      <c r="G159" s="32">
        <v>40000</v>
      </c>
      <c r="H159" s="23">
        <f t="shared" si="2"/>
        <v>14000</v>
      </c>
      <c r="I159" s="28" t="s">
        <v>9</v>
      </c>
      <c r="J159" s="13" t="s">
        <v>15</v>
      </c>
      <c r="K159" s="28" t="s">
        <v>287</v>
      </c>
    </row>
    <row r="160" spans="1:11" ht="30.75" customHeight="1" x14ac:dyDescent="0.25">
      <c r="A160" s="22" t="s">
        <v>44</v>
      </c>
      <c r="B160" s="28">
        <v>47471551</v>
      </c>
      <c r="C160" s="28">
        <v>47471559</v>
      </c>
      <c r="D160" s="26">
        <v>45967</v>
      </c>
      <c r="E160" s="29">
        <v>40433555</v>
      </c>
      <c r="F160" s="28" t="s">
        <v>52</v>
      </c>
      <c r="G160" s="32">
        <v>40000</v>
      </c>
      <c r="H160" s="23">
        <f t="shared" si="2"/>
        <v>14000</v>
      </c>
      <c r="I160" s="28" t="s">
        <v>9</v>
      </c>
      <c r="J160" s="13" t="s">
        <v>15</v>
      </c>
      <c r="K160" s="28" t="s">
        <v>288</v>
      </c>
    </row>
    <row r="161" spans="1:11" ht="30.75" customHeight="1" x14ac:dyDescent="0.25">
      <c r="A161" s="22" t="s">
        <v>44</v>
      </c>
      <c r="B161" s="28">
        <v>47471588</v>
      </c>
      <c r="C161" s="28">
        <v>47471618</v>
      </c>
      <c r="D161" s="26">
        <v>45967</v>
      </c>
      <c r="E161" s="29">
        <v>40433555</v>
      </c>
      <c r="F161" s="28" t="s">
        <v>52</v>
      </c>
      <c r="G161" s="32">
        <v>40000</v>
      </c>
      <c r="H161" s="23">
        <f t="shared" si="2"/>
        <v>14000</v>
      </c>
      <c r="I161" s="28" t="s">
        <v>9</v>
      </c>
      <c r="J161" s="13" t="s">
        <v>15</v>
      </c>
      <c r="K161" s="28" t="s">
        <v>289</v>
      </c>
    </row>
    <row r="162" spans="1:11" ht="30.75" customHeight="1" x14ac:dyDescent="0.25">
      <c r="A162" s="22" t="s">
        <v>44</v>
      </c>
      <c r="B162" s="28">
        <v>47471649</v>
      </c>
      <c r="C162" s="28">
        <v>47471653</v>
      </c>
      <c r="D162" s="26">
        <v>45967</v>
      </c>
      <c r="E162" s="29">
        <v>40433555</v>
      </c>
      <c r="F162" s="28" t="s">
        <v>52</v>
      </c>
      <c r="G162" s="32">
        <v>40000</v>
      </c>
      <c r="H162" s="23">
        <f t="shared" si="2"/>
        <v>14000</v>
      </c>
      <c r="I162" s="28" t="s">
        <v>9</v>
      </c>
      <c r="J162" s="13" t="s">
        <v>15</v>
      </c>
      <c r="K162" s="28" t="s">
        <v>290</v>
      </c>
    </row>
    <row r="163" spans="1:11" ht="30.75" customHeight="1" x14ac:dyDescent="0.25">
      <c r="A163" s="22" t="s">
        <v>44</v>
      </c>
      <c r="B163" s="28">
        <v>47471693</v>
      </c>
      <c r="C163" s="28">
        <v>47471698</v>
      </c>
      <c r="D163" s="26">
        <v>45967</v>
      </c>
      <c r="E163" s="29">
        <v>40433555</v>
      </c>
      <c r="F163" s="28" t="s">
        <v>52</v>
      </c>
      <c r="G163" s="32">
        <v>40000</v>
      </c>
      <c r="H163" s="23">
        <f t="shared" si="2"/>
        <v>14000</v>
      </c>
      <c r="I163" s="28" t="s">
        <v>9</v>
      </c>
      <c r="J163" s="13" t="s">
        <v>15</v>
      </c>
      <c r="K163" s="28" t="s">
        <v>291</v>
      </c>
    </row>
    <row r="164" spans="1:11" ht="30.75" customHeight="1" x14ac:dyDescent="0.25">
      <c r="A164" s="22" t="s">
        <v>44</v>
      </c>
      <c r="B164" s="28">
        <v>47478985</v>
      </c>
      <c r="C164" s="28">
        <v>47478990</v>
      </c>
      <c r="D164" s="26">
        <v>45965</v>
      </c>
      <c r="E164" s="29">
        <v>85260647</v>
      </c>
      <c r="F164" s="28" t="s">
        <v>30</v>
      </c>
      <c r="G164" s="32">
        <v>25000</v>
      </c>
      <c r="H164" s="23">
        <f t="shared" si="2"/>
        <v>8750</v>
      </c>
      <c r="I164" s="28" t="s">
        <v>9</v>
      </c>
      <c r="J164" s="13" t="s">
        <v>15</v>
      </c>
      <c r="K164" s="28" t="s">
        <v>292</v>
      </c>
    </row>
    <row r="165" spans="1:11" ht="30.75" customHeight="1" x14ac:dyDescent="0.25">
      <c r="A165" s="22" t="s">
        <v>44</v>
      </c>
      <c r="B165" s="28">
        <v>47479023</v>
      </c>
      <c r="C165" s="28">
        <v>47479031</v>
      </c>
      <c r="D165" s="26">
        <v>45965</v>
      </c>
      <c r="E165" s="29">
        <v>85260647</v>
      </c>
      <c r="F165" s="28" t="s">
        <v>30</v>
      </c>
      <c r="G165" s="32">
        <v>25000</v>
      </c>
      <c r="H165" s="23">
        <f t="shared" si="2"/>
        <v>8750</v>
      </c>
      <c r="I165" s="28" t="s">
        <v>9</v>
      </c>
      <c r="J165" s="13" t="s">
        <v>15</v>
      </c>
      <c r="K165" s="28" t="s">
        <v>293</v>
      </c>
    </row>
    <row r="166" spans="1:11" ht="30.75" customHeight="1" x14ac:dyDescent="0.25">
      <c r="A166" s="22" t="s">
        <v>44</v>
      </c>
      <c r="B166" s="28">
        <v>47489228</v>
      </c>
      <c r="C166" s="28">
        <v>47489254</v>
      </c>
      <c r="D166" s="26">
        <v>45968</v>
      </c>
      <c r="E166" s="29">
        <v>91216291</v>
      </c>
      <c r="F166" s="28" t="s">
        <v>69</v>
      </c>
      <c r="G166" s="32">
        <v>110700</v>
      </c>
      <c r="H166" s="23">
        <f t="shared" si="2"/>
        <v>38745</v>
      </c>
      <c r="I166" s="28" t="s">
        <v>11</v>
      </c>
      <c r="J166" s="13" t="s">
        <v>13</v>
      </c>
      <c r="K166" s="28" t="s">
        <v>294</v>
      </c>
    </row>
    <row r="167" spans="1:11" ht="30.75" customHeight="1" x14ac:dyDescent="0.25">
      <c r="A167" s="22" t="s">
        <v>44</v>
      </c>
      <c r="B167" s="28">
        <v>47481319</v>
      </c>
      <c r="C167" s="28">
        <v>47481549</v>
      </c>
      <c r="D167" s="26">
        <v>45968</v>
      </c>
      <c r="E167" s="29">
        <v>40386801</v>
      </c>
      <c r="F167" s="28" t="s">
        <v>70</v>
      </c>
      <c r="G167" s="32">
        <v>169400</v>
      </c>
      <c r="H167" s="23">
        <f t="shared" si="2"/>
        <v>59289.999999999993</v>
      </c>
      <c r="I167" s="28" t="s">
        <v>11</v>
      </c>
      <c r="J167" s="13" t="s">
        <v>13</v>
      </c>
      <c r="K167" s="28" t="s">
        <v>295</v>
      </c>
    </row>
    <row r="168" spans="1:11" ht="30.75" customHeight="1" x14ac:dyDescent="0.25">
      <c r="A168" s="22" t="s">
        <v>44</v>
      </c>
      <c r="B168" s="28">
        <v>47502068</v>
      </c>
      <c r="C168" s="28">
        <v>47502165</v>
      </c>
      <c r="D168" s="26">
        <v>45968</v>
      </c>
      <c r="E168" s="29">
        <v>5031003</v>
      </c>
      <c r="F168" s="28" t="s">
        <v>71</v>
      </c>
      <c r="G168" s="32">
        <v>384000</v>
      </c>
      <c r="H168" s="23">
        <f t="shared" si="2"/>
        <v>134400</v>
      </c>
      <c r="I168" s="28" t="s">
        <v>11</v>
      </c>
      <c r="J168" s="13" t="s">
        <v>13</v>
      </c>
      <c r="K168" s="28" t="s">
        <v>296</v>
      </c>
    </row>
    <row r="169" spans="1:11" ht="30.75" customHeight="1" x14ac:dyDescent="0.25">
      <c r="A169" s="22" t="s">
        <v>44</v>
      </c>
      <c r="B169" s="28">
        <v>47343990</v>
      </c>
      <c r="C169" s="28">
        <v>47344034</v>
      </c>
      <c r="D169" s="26">
        <v>45968</v>
      </c>
      <c r="E169" s="29">
        <v>1085250052</v>
      </c>
      <c r="F169" s="28" t="s">
        <v>72</v>
      </c>
      <c r="G169" s="32">
        <v>41840</v>
      </c>
      <c r="H169" s="23">
        <f t="shared" si="2"/>
        <v>14643.999999999998</v>
      </c>
      <c r="I169" s="28" t="s">
        <v>11</v>
      </c>
      <c r="J169" s="13" t="s">
        <v>13</v>
      </c>
      <c r="K169" s="28" t="s">
        <v>297</v>
      </c>
    </row>
    <row r="170" spans="1:11" ht="30.75" customHeight="1" x14ac:dyDescent="0.25">
      <c r="A170" s="22" t="s">
        <v>44</v>
      </c>
      <c r="B170" s="28">
        <v>47502988</v>
      </c>
      <c r="C170" s="28">
        <v>47503227</v>
      </c>
      <c r="D170" s="26">
        <v>45968</v>
      </c>
      <c r="E170" s="29">
        <v>9533240</v>
      </c>
      <c r="F170" s="28" t="s">
        <v>73</v>
      </c>
      <c r="G170" s="32">
        <v>786596</v>
      </c>
      <c r="H170" s="23">
        <f t="shared" si="2"/>
        <v>275308.59999999998</v>
      </c>
      <c r="I170" s="28" t="s">
        <v>11</v>
      </c>
      <c r="J170" s="13" t="s">
        <v>13</v>
      </c>
      <c r="K170" s="28" t="s">
        <v>298</v>
      </c>
    </row>
    <row r="171" spans="1:11" ht="30.75" customHeight="1" x14ac:dyDescent="0.25">
      <c r="A171" s="22" t="s">
        <v>44</v>
      </c>
      <c r="B171" s="28">
        <v>47502370</v>
      </c>
      <c r="C171" s="28">
        <v>47502420</v>
      </c>
      <c r="D171" s="26">
        <v>45968</v>
      </c>
      <c r="E171" s="29">
        <v>34559781</v>
      </c>
      <c r="F171" s="28" t="s">
        <v>74</v>
      </c>
      <c r="G171" s="32">
        <v>357840</v>
      </c>
      <c r="H171" s="23">
        <f t="shared" si="2"/>
        <v>125243.99999999999</v>
      </c>
      <c r="I171" s="28" t="s">
        <v>11</v>
      </c>
      <c r="J171" s="13" t="s">
        <v>13</v>
      </c>
      <c r="K171" s="28" t="s">
        <v>299</v>
      </c>
    </row>
    <row r="172" spans="1:11" ht="30.75" customHeight="1" x14ac:dyDescent="0.25">
      <c r="A172" s="22" t="s">
        <v>44</v>
      </c>
      <c r="B172" s="28">
        <v>47502771</v>
      </c>
      <c r="C172" s="28">
        <v>47504336</v>
      </c>
      <c r="D172" s="26">
        <v>45968</v>
      </c>
      <c r="E172" s="29">
        <v>1098674443</v>
      </c>
      <c r="F172" s="28" t="s">
        <v>75</v>
      </c>
      <c r="G172" s="32">
        <v>143800</v>
      </c>
      <c r="H172" s="23">
        <f t="shared" si="2"/>
        <v>50330</v>
      </c>
      <c r="I172" s="28" t="s">
        <v>11</v>
      </c>
      <c r="J172" s="13" t="s">
        <v>13</v>
      </c>
      <c r="K172" s="28" t="s">
        <v>300</v>
      </c>
    </row>
    <row r="173" spans="1:11" ht="30.75" customHeight="1" x14ac:dyDescent="0.25">
      <c r="A173" s="22" t="s">
        <v>44</v>
      </c>
      <c r="B173" s="28">
        <v>47497993</v>
      </c>
      <c r="C173" s="28">
        <v>47498014</v>
      </c>
      <c r="D173" s="26">
        <v>45969</v>
      </c>
      <c r="E173" s="29">
        <v>14295518</v>
      </c>
      <c r="F173" s="28" t="s">
        <v>76</v>
      </c>
      <c r="G173" s="32">
        <v>498450</v>
      </c>
      <c r="H173" s="23">
        <f t="shared" si="2"/>
        <v>174457.5</v>
      </c>
      <c r="I173" s="28" t="s">
        <v>11</v>
      </c>
      <c r="J173" s="13" t="s">
        <v>13</v>
      </c>
      <c r="K173" s="28" t="s">
        <v>301</v>
      </c>
    </row>
    <row r="174" spans="1:11" ht="30.75" customHeight="1" x14ac:dyDescent="0.25">
      <c r="A174" s="22" t="s">
        <v>44</v>
      </c>
      <c r="B174" s="28">
        <v>47522042</v>
      </c>
      <c r="C174" s="28">
        <v>47522054</v>
      </c>
      <c r="D174" s="26">
        <v>45971</v>
      </c>
      <c r="E174" s="29">
        <v>5561122</v>
      </c>
      <c r="F174" s="28" t="s">
        <v>77</v>
      </c>
      <c r="G174" s="32">
        <v>384800</v>
      </c>
      <c r="H174" s="23">
        <f t="shared" si="2"/>
        <v>134680</v>
      </c>
      <c r="I174" s="28" t="s">
        <v>11</v>
      </c>
      <c r="J174" s="13" t="s">
        <v>13</v>
      </c>
      <c r="K174" s="28" t="s">
        <v>302</v>
      </c>
    </row>
    <row r="175" spans="1:11" ht="30.75" customHeight="1" x14ac:dyDescent="0.25">
      <c r="A175" s="22" t="s">
        <v>44</v>
      </c>
      <c r="B175" s="28">
        <v>47500863</v>
      </c>
      <c r="C175" s="28">
        <v>47500944</v>
      </c>
      <c r="D175" s="26">
        <v>45971</v>
      </c>
      <c r="E175" s="29">
        <v>94252513</v>
      </c>
      <c r="F175" s="28" t="s">
        <v>78</v>
      </c>
      <c r="G175" s="32">
        <v>282080</v>
      </c>
      <c r="H175" s="23">
        <f t="shared" si="2"/>
        <v>98728</v>
      </c>
      <c r="I175" s="28" t="s">
        <v>11</v>
      </c>
      <c r="J175" s="13" t="s">
        <v>13</v>
      </c>
      <c r="K175" s="28" t="s">
        <v>303</v>
      </c>
    </row>
    <row r="176" spans="1:11" ht="30.75" customHeight="1" x14ac:dyDescent="0.25">
      <c r="A176" s="22" t="s">
        <v>44</v>
      </c>
      <c r="B176" s="28">
        <v>47483581</v>
      </c>
      <c r="C176" s="28">
        <v>47483595</v>
      </c>
      <c r="D176" s="26">
        <v>45971</v>
      </c>
      <c r="E176" s="29">
        <v>73228451</v>
      </c>
      <c r="F176" s="28" t="s">
        <v>79</v>
      </c>
      <c r="G176" s="32">
        <v>25000</v>
      </c>
      <c r="H176" s="23">
        <f t="shared" si="2"/>
        <v>8750</v>
      </c>
      <c r="I176" s="28" t="s">
        <v>9</v>
      </c>
      <c r="J176" s="13" t="s">
        <v>15</v>
      </c>
      <c r="K176" s="28" t="s">
        <v>304</v>
      </c>
    </row>
    <row r="177" spans="1:11" ht="30.75" customHeight="1" x14ac:dyDescent="0.25">
      <c r="A177" s="22" t="s">
        <v>44</v>
      </c>
      <c r="B177" s="28">
        <v>47483619</v>
      </c>
      <c r="C177" s="28">
        <v>47483633</v>
      </c>
      <c r="D177" s="26">
        <v>45971</v>
      </c>
      <c r="E177" s="29">
        <v>73228451</v>
      </c>
      <c r="F177" s="28" t="s">
        <v>79</v>
      </c>
      <c r="G177" s="32">
        <v>25000</v>
      </c>
      <c r="H177" s="23">
        <f t="shared" si="2"/>
        <v>8750</v>
      </c>
      <c r="I177" s="28" t="s">
        <v>9</v>
      </c>
      <c r="J177" s="13" t="s">
        <v>15</v>
      </c>
      <c r="K177" s="28" t="s">
        <v>305</v>
      </c>
    </row>
    <row r="178" spans="1:11" ht="30.75" customHeight="1" x14ac:dyDescent="0.25">
      <c r="A178" s="22" t="s">
        <v>44</v>
      </c>
      <c r="B178" s="28">
        <v>47501416</v>
      </c>
      <c r="C178" s="28">
        <v>47501425</v>
      </c>
      <c r="D178" s="26">
        <v>45971</v>
      </c>
      <c r="E178" s="29">
        <v>73228451</v>
      </c>
      <c r="F178" s="28" t="s">
        <v>79</v>
      </c>
      <c r="G178" s="32">
        <v>25000</v>
      </c>
      <c r="H178" s="23">
        <f t="shared" si="2"/>
        <v>8750</v>
      </c>
      <c r="I178" s="28" t="s">
        <v>9</v>
      </c>
      <c r="J178" s="13" t="s">
        <v>15</v>
      </c>
      <c r="K178" s="28" t="s">
        <v>306</v>
      </c>
    </row>
    <row r="179" spans="1:11" ht="30.75" customHeight="1" x14ac:dyDescent="0.25">
      <c r="A179" s="22" t="s">
        <v>44</v>
      </c>
      <c r="B179" s="28">
        <v>47501450</v>
      </c>
      <c r="C179" s="28">
        <v>47501456</v>
      </c>
      <c r="D179" s="26">
        <v>45971</v>
      </c>
      <c r="E179" s="29">
        <v>73228451</v>
      </c>
      <c r="F179" s="28" t="s">
        <v>79</v>
      </c>
      <c r="G179" s="32">
        <v>25000</v>
      </c>
      <c r="H179" s="23">
        <f t="shared" si="2"/>
        <v>8750</v>
      </c>
      <c r="I179" s="28" t="s">
        <v>9</v>
      </c>
      <c r="J179" s="13" t="s">
        <v>15</v>
      </c>
      <c r="K179" s="28" t="s">
        <v>307</v>
      </c>
    </row>
    <row r="180" spans="1:11" ht="30.75" customHeight="1" x14ac:dyDescent="0.25">
      <c r="A180" s="22" t="s">
        <v>44</v>
      </c>
      <c r="B180" s="28">
        <v>47506057</v>
      </c>
      <c r="C180" s="28">
        <v>47506064</v>
      </c>
      <c r="D180" s="26">
        <v>45971</v>
      </c>
      <c r="E180" s="29">
        <v>74347089</v>
      </c>
      <c r="F180" s="28" t="s">
        <v>80</v>
      </c>
      <c r="G180" s="32">
        <v>25000</v>
      </c>
      <c r="H180" s="23">
        <f t="shared" si="2"/>
        <v>8750</v>
      </c>
      <c r="I180" s="28" t="s">
        <v>9</v>
      </c>
      <c r="J180" s="13" t="s">
        <v>15</v>
      </c>
      <c r="K180" s="28" t="s">
        <v>308</v>
      </c>
    </row>
    <row r="181" spans="1:11" ht="30.75" customHeight="1" x14ac:dyDescent="0.25">
      <c r="A181" s="22" t="s">
        <v>44</v>
      </c>
      <c r="B181" s="28">
        <v>47506121</v>
      </c>
      <c r="C181" s="28">
        <v>47506142</v>
      </c>
      <c r="D181" s="26">
        <v>45971</v>
      </c>
      <c r="E181" s="29">
        <v>74347089</v>
      </c>
      <c r="F181" s="28" t="s">
        <v>80</v>
      </c>
      <c r="G181" s="32">
        <v>25000</v>
      </c>
      <c r="H181" s="23">
        <f t="shared" si="2"/>
        <v>8750</v>
      </c>
      <c r="I181" s="28" t="s">
        <v>9</v>
      </c>
      <c r="J181" s="13" t="s">
        <v>15</v>
      </c>
      <c r="K181" s="28" t="s">
        <v>309</v>
      </c>
    </row>
    <row r="182" spans="1:11" ht="30.75" customHeight="1" x14ac:dyDescent="0.25">
      <c r="A182" s="22" t="s">
        <v>44</v>
      </c>
      <c r="B182" s="28">
        <v>47505681</v>
      </c>
      <c r="C182" s="28">
        <v>47505697</v>
      </c>
      <c r="D182" s="26">
        <v>45971</v>
      </c>
      <c r="E182" s="29">
        <v>85458421</v>
      </c>
      <c r="F182" s="28" t="s">
        <v>25</v>
      </c>
      <c r="G182" s="32">
        <v>25000</v>
      </c>
      <c r="H182" s="23">
        <f t="shared" si="2"/>
        <v>8750</v>
      </c>
      <c r="I182" s="28" t="s">
        <v>9</v>
      </c>
      <c r="J182" s="13" t="s">
        <v>15</v>
      </c>
      <c r="K182" s="28" t="s">
        <v>310</v>
      </c>
    </row>
    <row r="183" spans="1:11" ht="30.75" customHeight="1" x14ac:dyDescent="0.25">
      <c r="A183" s="22" t="s">
        <v>44</v>
      </c>
      <c r="B183" s="28">
        <v>47505682</v>
      </c>
      <c r="C183" s="28">
        <v>47505700</v>
      </c>
      <c r="D183" s="26">
        <v>45971</v>
      </c>
      <c r="E183" s="29">
        <v>85458421</v>
      </c>
      <c r="F183" s="28" t="s">
        <v>25</v>
      </c>
      <c r="G183" s="32">
        <v>25000</v>
      </c>
      <c r="H183" s="23">
        <f t="shared" si="2"/>
        <v>8750</v>
      </c>
      <c r="I183" s="28" t="s">
        <v>9</v>
      </c>
      <c r="J183" s="13" t="s">
        <v>15</v>
      </c>
      <c r="K183" s="28" t="s">
        <v>311</v>
      </c>
    </row>
    <row r="184" spans="1:11" ht="30.75" customHeight="1" x14ac:dyDescent="0.25">
      <c r="A184" s="22" t="s">
        <v>44</v>
      </c>
      <c r="B184" s="28">
        <v>47527812</v>
      </c>
      <c r="C184" s="28">
        <v>47527834</v>
      </c>
      <c r="D184" s="27">
        <v>45971</v>
      </c>
      <c r="E184" s="29">
        <v>85458421</v>
      </c>
      <c r="F184" s="28" t="s">
        <v>25</v>
      </c>
      <c r="G184" s="32">
        <v>25000</v>
      </c>
      <c r="H184" s="23">
        <f t="shared" si="2"/>
        <v>8750</v>
      </c>
      <c r="I184" s="28" t="s">
        <v>9</v>
      </c>
      <c r="J184" s="13" t="s">
        <v>15</v>
      </c>
      <c r="K184" s="29" t="s">
        <v>312</v>
      </c>
    </row>
    <row r="185" spans="1:11" ht="30.75" customHeight="1" x14ac:dyDescent="0.25">
      <c r="A185" s="22" t="s">
        <v>44</v>
      </c>
      <c r="B185" s="28">
        <v>47516367</v>
      </c>
      <c r="C185" s="28">
        <v>47516373</v>
      </c>
      <c r="D185" s="26">
        <v>45971</v>
      </c>
      <c r="E185" s="29">
        <v>85458421</v>
      </c>
      <c r="F185" s="28" t="s">
        <v>25</v>
      </c>
      <c r="G185" s="32">
        <v>25000</v>
      </c>
      <c r="H185" s="23">
        <f t="shared" si="2"/>
        <v>8750</v>
      </c>
      <c r="I185" s="28" t="s">
        <v>9</v>
      </c>
      <c r="J185" s="13" t="s">
        <v>15</v>
      </c>
      <c r="K185" s="28" t="s">
        <v>313</v>
      </c>
    </row>
    <row r="186" spans="1:11" ht="30.75" customHeight="1" x14ac:dyDescent="0.25">
      <c r="A186" s="22" t="s">
        <v>44</v>
      </c>
      <c r="B186" s="28">
        <v>47516382</v>
      </c>
      <c r="C186" s="28">
        <v>47516391</v>
      </c>
      <c r="D186" s="26">
        <v>45971</v>
      </c>
      <c r="E186" s="29">
        <v>85458421</v>
      </c>
      <c r="F186" s="28" t="s">
        <v>25</v>
      </c>
      <c r="G186" s="32">
        <v>25000</v>
      </c>
      <c r="H186" s="23">
        <f t="shared" si="2"/>
        <v>8750</v>
      </c>
      <c r="I186" s="28" t="s">
        <v>9</v>
      </c>
      <c r="J186" s="13" t="s">
        <v>15</v>
      </c>
      <c r="K186" s="28" t="s">
        <v>314</v>
      </c>
    </row>
    <row r="187" spans="1:11" ht="30.75" customHeight="1" x14ac:dyDescent="0.25">
      <c r="A187" s="22" t="s">
        <v>44</v>
      </c>
      <c r="B187" s="28">
        <v>47516387</v>
      </c>
      <c r="C187" s="28">
        <v>47516393</v>
      </c>
      <c r="D187" s="26">
        <v>45971</v>
      </c>
      <c r="E187" s="29">
        <v>85458421</v>
      </c>
      <c r="F187" s="28" t="s">
        <v>25</v>
      </c>
      <c r="G187" s="32">
        <v>25000</v>
      </c>
      <c r="H187" s="23">
        <f t="shared" si="2"/>
        <v>8750</v>
      </c>
      <c r="I187" s="28" t="s">
        <v>9</v>
      </c>
      <c r="J187" s="13" t="s">
        <v>15</v>
      </c>
      <c r="K187" s="28" t="s">
        <v>315</v>
      </c>
    </row>
    <row r="188" spans="1:11" ht="30.75" customHeight="1" x14ac:dyDescent="0.25">
      <c r="A188" s="22" t="s">
        <v>44</v>
      </c>
      <c r="B188" s="28">
        <v>47516403</v>
      </c>
      <c r="C188" s="28">
        <v>47516408</v>
      </c>
      <c r="D188" s="26">
        <v>45971</v>
      </c>
      <c r="E188" s="29">
        <v>85458421</v>
      </c>
      <c r="F188" s="28" t="s">
        <v>25</v>
      </c>
      <c r="G188" s="32">
        <v>25000</v>
      </c>
      <c r="H188" s="23">
        <f t="shared" si="2"/>
        <v>8750</v>
      </c>
      <c r="I188" s="28" t="s">
        <v>9</v>
      </c>
      <c r="J188" s="13" t="s">
        <v>15</v>
      </c>
      <c r="K188" s="28" t="s">
        <v>316</v>
      </c>
    </row>
    <row r="189" spans="1:11" ht="30.75" customHeight="1" x14ac:dyDescent="0.25">
      <c r="A189" s="22" t="s">
        <v>44</v>
      </c>
      <c r="B189" s="28">
        <v>47516404</v>
      </c>
      <c r="C189" s="28">
        <v>47516410</v>
      </c>
      <c r="D189" s="26">
        <v>45971</v>
      </c>
      <c r="E189" s="29">
        <v>85458421</v>
      </c>
      <c r="F189" s="28" t="s">
        <v>25</v>
      </c>
      <c r="G189" s="32">
        <v>25000</v>
      </c>
      <c r="H189" s="23">
        <f t="shared" si="2"/>
        <v>8750</v>
      </c>
      <c r="I189" s="28" t="s">
        <v>9</v>
      </c>
      <c r="J189" s="13" t="s">
        <v>15</v>
      </c>
      <c r="K189" s="28" t="s">
        <v>317</v>
      </c>
    </row>
    <row r="190" spans="1:11" ht="30.75" customHeight="1" x14ac:dyDescent="0.25">
      <c r="A190" s="22" t="s">
        <v>44</v>
      </c>
      <c r="B190" s="28">
        <v>47516420</v>
      </c>
      <c r="C190" s="28">
        <v>47516426</v>
      </c>
      <c r="D190" s="26">
        <v>45971</v>
      </c>
      <c r="E190" s="29">
        <v>85458421</v>
      </c>
      <c r="F190" s="28" t="s">
        <v>25</v>
      </c>
      <c r="G190" s="32">
        <v>25000</v>
      </c>
      <c r="H190" s="23">
        <f t="shared" si="2"/>
        <v>8750</v>
      </c>
      <c r="I190" s="28" t="s">
        <v>9</v>
      </c>
      <c r="J190" s="13" t="s">
        <v>15</v>
      </c>
      <c r="K190" s="28" t="s">
        <v>318</v>
      </c>
    </row>
    <row r="191" spans="1:11" ht="30.75" customHeight="1" x14ac:dyDescent="0.25">
      <c r="A191" s="22" t="s">
        <v>44</v>
      </c>
      <c r="B191" s="28">
        <v>47516422</v>
      </c>
      <c r="C191" s="28">
        <v>47516428</v>
      </c>
      <c r="D191" s="26">
        <v>45971</v>
      </c>
      <c r="E191" s="29">
        <v>85458421</v>
      </c>
      <c r="F191" s="28" t="s">
        <v>25</v>
      </c>
      <c r="G191" s="32">
        <v>25000</v>
      </c>
      <c r="H191" s="23">
        <f t="shared" si="2"/>
        <v>8750</v>
      </c>
      <c r="I191" s="28" t="s">
        <v>9</v>
      </c>
      <c r="J191" s="13" t="s">
        <v>15</v>
      </c>
      <c r="K191" s="28" t="s">
        <v>319</v>
      </c>
    </row>
    <row r="192" spans="1:11" ht="30.75" customHeight="1" x14ac:dyDescent="0.25">
      <c r="A192" s="22" t="s">
        <v>44</v>
      </c>
      <c r="B192" s="28">
        <v>47516434</v>
      </c>
      <c r="C192" s="28">
        <v>47516439</v>
      </c>
      <c r="D192" s="26">
        <v>45971</v>
      </c>
      <c r="E192" s="29">
        <v>85458421</v>
      </c>
      <c r="F192" s="28" t="s">
        <v>25</v>
      </c>
      <c r="G192" s="32">
        <v>25000</v>
      </c>
      <c r="H192" s="23">
        <f t="shared" si="2"/>
        <v>8750</v>
      </c>
      <c r="I192" s="28" t="s">
        <v>9</v>
      </c>
      <c r="J192" s="13" t="s">
        <v>15</v>
      </c>
      <c r="K192" s="28" t="s">
        <v>320</v>
      </c>
    </row>
    <row r="193" spans="1:11" ht="30.75" customHeight="1" x14ac:dyDescent="0.25">
      <c r="A193" s="22" t="s">
        <v>44</v>
      </c>
      <c r="B193" s="28">
        <v>47516436</v>
      </c>
      <c r="C193" s="28">
        <v>47516442</v>
      </c>
      <c r="D193" s="26">
        <v>45971</v>
      </c>
      <c r="E193" s="29">
        <v>85458421</v>
      </c>
      <c r="F193" s="28" t="s">
        <v>25</v>
      </c>
      <c r="G193" s="32">
        <v>25000</v>
      </c>
      <c r="H193" s="23">
        <f t="shared" si="2"/>
        <v>8750</v>
      </c>
      <c r="I193" s="28" t="s">
        <v>9</v>
      </c>
      <c r="J193" s="13" t="s">
        <v>15</v>
      </c>
      <c r="K193" s="28" t="s">
        <v>321</v>
      </c>
    </row>
    <row r="194" spans="1:11" ht="30.75" customHeight="1" x14ac:dyDescent="0.25">
      <c r="A194" s="22" t="s">
        <v>44</v>
      </c>
      <c r="B194" s="28">
        <v>47527824</v>
      </c>
      <c r="C194" s="28">
        <v>47527861</v>
      </c>
      <c r="D194" s="26">
        <v>45971</v>
      </c>
      <c r="E194" s="29">
        <v>40372128</v>
      </c>
      <c r="F194" s="28" t="s">
        <v>81</v>
      </c>
      <c r="G194" s="32">
        <v>117500</v>
      </c>
      <c r="H194" s="23">
        <f t="shared" si="2"/>
        <v>41125</v>
      </c>
      <c r="I194" s="28" t="s">
        <v>11</v>
      </c>
      <c r="J194" s="13" t="s">
        <v>13</v>
      </c>
      <c r="K194" s="28" t="s">
        <v>322</v>
      </c>
    </row>
    <row r="195" spans="1:11" ht="30.75" customHeight="1" x14ac:dyDescent="0.25">
      <c r="A195" s="22" t="s">
        <v>44</v>
      </c>
      <c r="B195" s="28">
        <v>47511949</v>
      </c>
      <c r="C195" s="28">
        <v>47511958</v>
      </c>
      <c r="D195" s="26">
        <v>45971</v>
      </c>
      <c r="E195" s="29">
        <v>7926284</v>
      </c>
      <c r="F195" s="28" t="s">
        <v>82</v>
      </c>
      <c r="G195" s="32">
        <v>85000</v>
      </c>
      <c r="H195" s="23">
        <f t="shared" si="2"/>
        <v>29749.999999999996</v>
      </c>
      <c r="I195" s="28" t="s">
        <v>9</v>
      </c>
      <c r="J195" s="13" t="s">
        <v>15</v>
      </c>
      <c r="K195" s="28" t="s">
        <v>323</v>
      </c>
    </row>
    <row r="196" spans="1:11" ht="30.75" customHeight="1" x14ac:dyDescent="0.25">
      <c r="A196" s="22" t="s">
        <v>44</v>
      </c>
      <c r="B196" s="28">
        <v>47511993</v>
      </c>
      <c r="C196" s="28">
        <v>47512009</v>
      </c>
      <c r="D196" s="26">
        <v>45971</v>
      </c>
      <c r="E196" s="29">
        <v>7926284</v>
      </c>
      <c r="F196" s="28" t="s">
        <v>82</v>
      </c>
      <c r="G196" s="32">
        <v>85000</v>
      </c>
      <c r="H196" s="23">
        <f t="shared" si="2"/>
        <v>29749.999999999996</v>
      </c>
      <c r="I196" s="28" t="s">
        <v>9</v>
      </c>
      <c r="J196" s="13" t="s">
        <v>15</v>
      </c>
      <c r="K196" s="28" t="s">
        <v>324</v>
      </c>
    </row>
    <row r="197" spans="1:11" ht="30.75" customHeight="1" x14ac:dyDescent="0.25">
      <c r="A197" s="22" t="s">
        <v>44</v>
      </c>
      <c r="B197" s="28">
        <v>47516538</v>
      </c>
      <c r="C197" s="28">
        <v>47516542</v>
      </c>
      <c r="D197" s="26">
        <v>45971</v>
      </c>
      <c r="E197" s="29">
        <v>85260647</v>
      </c>
      <c r="F197" s="28" t="s">
        <v>30</v>
      </c>
      <c r="G197" s="32">
        <v>25000</v>
      </c>
      <c r="H197" s="23">
        <f t="shared" ref="H197:H260" si="3">+G197*35%</f>
        <v>8750</v>
      </c>
      <c r="I197" s="28" t="s">
        <v>9</v>
      </c>
      <c r="J197" s="13" t="s">
        <v>15</v>
      </c>
      <c r="K197" s="28" t="s">
        <v>325</v>
      </c>
    </row>
    <row r="198" spans="1:11" ht="30.75" customHeight="1" x14ac:dyDescent="0.25">
      <c r="A198" s="22" t="s">
        <v>44</v>
      </c>
      <c r="B198" s="28">
        <v>47516543</v>
      </c>
      <c r="C198" s="28">
        <v>47516554</v>
      </c>
      <c r="D198" s="26">
        <v>45971</v>
      </c>
      <c r="E198" s="29">
        <v>85260647</v>
      </c>
      <c r="F198" s="28" t="s">
        <v>30</v>
      </c>
      <c r="G198" s="32">
        <v>25000</v>
      </c>
      <c r="H198" s="23">
        <f t="shared" si="3"/>
        <v>8750</v>
      </c>
      <c r="I198" s="28" t="s">
        <v>9</v>
      </c>
      <c r="J198" s="13" t="s">
        <v>15</v>
      </c>
      <c r="K198" s="28" t="s">
        <v>326</v>
      </c>
    </row>
    <row r="199" spans="1:11" ht="30.75" customHeight="1" x14ac:dyDescent="0.25">
      <c r="A199" s="22" t="s">
        <v>44</v>
      </c>
      <c r="B199" s="28">
        <v>47516555</v>
      </c>
      <c r="C199" s="28">
        <v>47516558</v>
      </c>
      <c r="D199" s="26">
        <v>45971</v>
      </c>
      <c r="E199" s="29">
        <v>85260647</v>
      </c>
      <c r="F199" s="28" t="s">
        <v>30</v>
      </c>
      <c r="G199" s="32">
        <v>25000</v>
      </c>
      <c r="H199" s="23">
        <f t="shared" si="3"/>
        <v>8750</v>
      </c>
      <c r="I199" s="28" t="s">
        <v>9</v>
      </c>
      <c r="J199" s="13" t="s">
        <v>15</v>
      </c>
      <c r="K199" s="28" t="s">
        <v>327</v>
      </c>
    </row>
    <row r="200" spans="1:11" ht="30.75" customHeight="1" x14ac:dyDescent="0.25">
      <c r="A200" s="22" t="s">
        <v>44</v>
      </c>
      <c r="B200" s="28">
        <v>47516560</v>
      </c>
      <c r="C200" s="28">
        <v>47516562</v>
      </c>
      <c r="D200" s="26">
        <v>45971</v>
      </c>
      <c r="E200" s="29">
        <v>85260647</v>
      </c>
      <c r="F200" s="28" t="s">
        <v>30</v>
      </c>
      <c r="G200" s="32">
        <v>25000</v>
      </c>
      <c r="H200" s="23">
        <f t="shared" si="3"/>
        <v>8750</v>
      </c>
      <c r="I200" s="28" t="s">
        <v>9</v>
      </c>
      <c r="J200" s="13" t="s">
        <v>15</v>
      </c>
      <c r="K200" s="28" t="s">
        <v>328</v>
      </c>
    </row>
    <row r="201" spans="1:11" ht="30.75" customHeight="1" x14ac:dyDescent="0.25">
      <c r="A201" s="22" t="s">
        <v>44</v>
      </c>
      <c r="B201" s="28">
        <v>47526366</v>
      </c>
      <c r="C201" s="28">
        <v>47526373</v>
      </c>
      <c r="D201" s="26">
        <v>45971</v>
      </c>
      <c r="E201" s="29">
        <v>1069467812</v>
      </c>
      <c r="F201" s="28" t="s">
        <v>83</v>
      </c>
      <c r="G201" s="32">
        <v>40000</v>
      </c>
      <c r="H201" s="23">
        <f t="shared" si="3"/>
        <v>14000</v>
      </c>
      <c r="I201" s="28" t="s">
        <v>9</v>
      </c>
      <c r="J201" s="13" t="s">
        <v>15</v>
      </c>
      <c r="K201" s="28" t="s">
        <v>329</v>
      </c>
    </row>
    <row r="202" spans="1:11" ht="30.75" customHeight="1" x14ac:dyDescent="0.25">
      <c r="A202" s="22" t="s">
        <v>44</v>
      </c>
      <c r="B202" s="28">
        <v>47526397</v>
      </c>
      <c r="C202" s="28">
        <v>47526428</v>
      </c>
      <c r="D202" s="26">
        <v>45971</v>
      </c>
      <c r="E202" s="29">
        <v>1069467812</v>
      </c>
      <c r="F202" s="28" t="s">
        <v>83</v>
      </c>
      <c r="G202" s="32">
        <v>40000</v>
      </c>
      <c r="H202" s="23">
        <f t="shared" si="3"/>
        <v>14000</v>
      </c>
      <c r="I202" s="28" t="s">
        <v>9</v>
      </c>
      <c r="J202" s="13" t="s">
        <v>15</v>
      </c>
      <c r="K202" s="28" t="s">
        <v>330</v>
      </c>
    </row>
    <row r="203" spans="1:11" ht="30.75" customHeight="1" x14ac:dyDescent="0.25">
      <c r="A203" s="22" t="s">
        <v>44</v>
      </c>
      <c r="B203" s="28">
        <v>47519433</v>
      </c>
      <c r="C203" s="28">
        <v>47519436</v>
      </c>
      <c r="D203" s="26">
        <v>45971</v>
      </c>
      <c r="E203" s="29">
        <v>73228451</v>
      </c>
      <c r="F203" s="28" t="s">
        <v>79</v>
      </c>
      <c r="G203" s="32">
        <v>25000</v>
      </c>
      <c r="H203" s="23">
        <f t="shared" si="3"/>
        <v>8750</v>
      </c>
      <c r="I203" s="28" t="s">
        <v>9</v>
      </c>
      <c r="J203" s="13" t="s">
        <v>15</v>
      </c>
      <c r="K203" s="28" t="s">
        <v>331</v>
      </c>
    </row>
    <row r="204" spans="1:11" ht="30.75" customHeight="1" x14ac:dyDescent="0.25">
      <c r="A204" s="22" t="s">
        <v>44</v>
      </c>
      <c r="B204" s="28">
        <v>47519451</v>
      </c>
      <c r="C204" s="28">
        <v>47519456</v>
      </c>
      <c r="D204" s="26">
        <v>45971</v>
      </c>
      <c r="E204" s="29">
        <v>73228451</v>
      </c>
      <c r="F204" s="28" t="s">
        <v>79</v>
      </c>
      <c r="G204" s="32">
        <v>25000</v>
      </c>
      <c r="H204" s="23">
        <f t="shared" si="3"/>
        <v>8750</v>
      </c>
      <c r="I204" s="28" t="s">
        <v>9</v>
      </c>
      <c r="J204" s="13" t="s">
        <v>15</v>
      </c>
      <c r="K204" s="28" t="s">
        <v>332</v>
      </c>
    </row>
    <row r="205" spans="1:11" ht="30.75" customHeight="1" x14ac:dyDescent="0.25">
      <c r="A205" s="22" t="s">
        <v>44</v>
      </c>
      <c r="B205" s="28">
        <v>47519464</v>
      </c>
      <c r="C205" s="28">
        <v>47519469</v>
      </c>
      <c r="D205" s="26">
        <v>45971</v>
      </c>
      <c r="E205" s="29">
        <v>73228451</v>
      </c>
      <c r="F205" s="28" t="s">
        <v>79</v>
      </c>
      <c r="G205" s="32">
        <v>25000</v>
      </c>
      <c r="H205" s="23">
        <f t="shared" si="3"/>
        <v>8750</v>
      </c>
      <c r="I205" s="28" t="s">
        <v>9</v>
      </c>
      <c r="J205" s="13" t="s">
        <v>15</v>
      </c>
      <c r="K205" s="28" t="s">
        <v>333</v>
      </c>
    </row>
    <row r="206" spans="1:11" ht="30.75" customHeight="1" x14ac:dyDescent="0.25">
      <c r="A206" s="22" t="s">
        <v>44</v>
      </c>
      <c r="B206" s="28">
        <v>47519478</v>
      </c>
      <c r="C206" s="28">
        <v>47519487</v>
      </c>
      <c r="D206" s="26">
        <v>45971</v>
      </c>
      <c r="E206" s="29">
        <v>73228451</v>
      </c>
      <c r="F206" s="28" t="s">
        <v>79</v>
      </c>
      <c r="G206" s="32">
        <v>25000</v>
      </c>
      <c r="H206" s="23">
        <f t="shared" si="3"/>
        <v>8750</v>
      </c>
      <c r="I206" s="28" t="s">
        <v>9</v>
      </c>
      <c r="J206" s="13" t="s">
        <v>15</v>
      </c>
      <c r="K206" s="28" t="s">
        <v>334</v>
      </c>
    </row>
    <row r="207" spans="1:11" ht="30.75" customHeight="1" x14ac:dyDescent="0.25">
      <c r="A207" s="22" t="s">
        <v>44</v>
      </c>
      <c r="B207" s="28">
        <v>47529051</v>
      </c>
      <c r="C207" s="28">
        <v>47529167</v>
      </c>
      <c r="D207" s="26">
        <v>45971</v>
      </c>
      <c r="E207" s="29">
        <v>12631995</v>
      </c>
      <c r="F207" s="28" t="s">
        <v>32</v>
      </c>
      <c r="G207" s="32">
        <v>50000</v>
      </c>
      <c r="H207" s="23">
        <f t="shared" si="3"/>
        <v>17500</v>
      </c>
      <c r="I207" s="28" t="s">
        <v>10</v>
      </c>
      <c r="J207" s="13" t="s">
        <v>26</v>
      </c>
      <c r="K207" s="28" t="s">
        <v>335</v>
      </c>
    </row>
    <row r="208" spans="1:11" ht="30.75" customHeight="1" x14ac:dyDescent="0.25">
      <c r="A208" s="22" t="s">
        <v>44</v>
      </c>
      <c r="B208" s="28">
        <v>47529330</v>
      </c>
      <c r="C208" s="28">
        <v>47529354</v>
      </c>
      <c r="D208" s="26">
        <v>45971</v>
      </c>
      <c r="E208" s="29">
        <v>12631995</v>
      </c>
      <c r="F208" s="28" t="s">
        <v>32</v>
      </c>
      <c r="G208" s="32">
        <v>50000</v>
      </c>
      <c r="H208" s="23">
        <f t="shared" si="3"/>
        <v>17500</v>
      </c>
      <c r="I208" s="28" t="s">
        <v>10</v>
      </c>
      <c r="J208" s="13" t="s">
        <v>26</v>
      </c>
      <c r="K208" s="28" t="s">
        <v>336</v>
      </c>
    </row>
    <row r="209" spans="1:11" ht="30.75" customHeight="1" x14ac:dyDescent="0.25">
      <c r="A209" s="22" t="s">
        <v>44</v>
      </c>
      <c r="B209" s="28">
        <v>47529306</v>
      </c>
      <c r="C209" s="28">
        <v>47529358</v>
      </c>
      <c r="D209" s="26">
        <v>45971</v>
      </c>
      <c r="E209" s="29">
        <v>12631995</v>
      </c>
      <c r="F209" s="28" t="s">
        <v>32</v>
      </c>
      <c r="G209" s="32">
        <v>50000</v>
      </c>
      <c r="H209" s="23">
        <f t="shared" si="3"/>
        <v>17500</v>
      </c>
      <c r="I209" s="28" t="s">
        <v>10</v>
      </c>
      <c r="J209" s="13" t="s">
        <v>26</v>
      </c>
      <c r="K209" s="28" t="s">
        <v>337</v>
      </c>
    </row>
    <row r="210" spans="1:11" ht="30.75" customHeight="1" x14ac:dyDescent="0.25">
      <c r="A210" s="22" t="s">
        <v>44</v>
      </c>
      <c r="B210" s="28">
        <v>47529308</v>
      </c>
      <c r="C210" s="28">
        <v>47529379</v>
      </c>
      <c r="D210" s="26">
        <v>45971</v>
      </c>
      <c r="E210" s="29">
        <v>12631995</v>
      </c>
      <c r="F210" s="28" t="s">
        <v>32</v>
      </c>
      <c r="G210" s="32">
        <v>50000</v>
      </c>
      <c r="H210" s="23">
        <f t="shared" si="3"/>
        <v>17500</v>
      </c>
      <c r="I210" s="28" t="s">
        <v>10</v>
      </c>
      <c r="J210" s="13" t="s">
        <v>26</v>
      </c>
      <c r="K210" s="28" t="s">
        <v>338</v>
      </c>
    </row>
    <row r="211" spans="1:11" ht="30.75" customHeight="1" x14ac:dyDescent="0.25">
      <c r="A211" s="22" t="s">
        <v>44</v>
      </c>
      <c r="B211" s="28">
        <v>47525868</v>
      </c>
      <c r="C211" s="28">
        <v>47525896</v>
      </c>
      <c r="D211" s="26">
        <v>45971</v>
      </c>
      <c r="E211" s="29">
        <v>60354051</v>
      </c>
      <c r="F211" s="28" t="s">
        <v>34</v>
      </c>
      <c r="G211" s="32">
        <v>417000</v>
      </c>
      <c r="H211" s="23">
        <f t="shared" si="3"/>
        <v>145950</v>
      </c>
      <c r="I211" s="28" t="s">
        <v>11</v>
      </c>
      <c r="J211" s="13" t="s">
        <v>13</v>
      </c>
      <c r="K211" s="28" t="s">
        <v>339</v>
      </c>
    </row>
    <row r="212" spans="1:11" ht="30.75" customHeight="1" x14ac:dyDescent="0.25">
      <c r="A212" s="22" t="s">
        <v>44</v>
      </c>
      <c r="B212" s="28">
        <v>47533318</v>
      </c>
      <c r="C212" s="28">
        <v>47533477</v>
      </c>
      <c r="D212" s="26">
        <v>45972</v>
      </c>
      <c r="E212" s="29">
        <v>25280033</v>
      </c>
      <c r="F212" s="28" t="s">
        <v>84</v>
      </c>
      <c r="G212" s="32">
        <v>155600</v>
      </c>
      <c r="H212" s="23">
        <f t="shared" si="3"/>
        <v>54460</v>
      </c>
      <c r="I212" s="28" t="s">
        <v>11</v>
      </c>
      <c r="J212" s="13" t="s">
        <v>13</v>
      </c>
      <c r="K212" s="28" t="s">
        <v>340</v>
      </c>
    </row>
    <row r="213" spans="1:11" ht="30.75" customHeight="1" x14ac:dyDescent="0.25">
      <c r="A213" s="22" t="s">
        <v>44</v>
      </c>
      <c r="B213" s="28">
        <v>47534559</v>
      </c>
      <c r="C213" s="28">
        <v>47534624</v>
      </c>
      <c r="D213" s="26">
        <v>45972</v>
      </c>
      <c r="E213" s="29">
        <v>76318278</v>
      </c>
      <c r="F213" s="28" t="s">
        <v>85</v>
      </c>
      <c r="G213" s="32">
        <v>228400</v>
      </c>
      <c r="H213" s="23">
        <f t="shared" si="3"/>
        <v>79940</v>
      </c>
      <c r="I213" s="28" t="s">
        <v>11</v>
      </c>
      <c r="J213" s="13" t="s">
        <v>13</v>
      </c>
      <c r="K213" s="28" t="s">
        <v>341</v>
      </c>
    </row>
    <row r="214" spans="1:11" ht="30.75" customHeight="1" x14ac:dyDescent="0.25">
      <c r="A214" s="22" t="s">
        <v>44</v>
      </c>
      <c r="B214" s="28">
        <v>47535136</v>
      </c>
      <c r="C214" s="28">
        <v>47535380</v>
      </c>
      <c r="D214" s="26">
        <v>45972</v>
      </c>
      <c r="E214" s="29">
        <v>10181831</v>
      </c>
      <c r="F214" s="28" t="s">
        <v>86</v>
      </c>
      <c r="G214" s="32">
        <v>115800</v>
      </c>
      <c r="H214" s="23">
        <f t="shared" si="3"/>
        <v>40530</v>
      </c>
      <c r="I214" s="28" t="s">
        <v>11</v>
      </c>
      <c r="J214" s="13" t="s">
        <v>13</v>
      </c>
      <c r="K214" s="28" t="s">
        <v>342</v>
      </c>
    </row>
    <row r="215" spans="1:11" ht="30.75" customHeight="1" x14ac:dyDescent="0.25">
      <c r="A215" s="22" t="s">
        <v>44</v>
      </c>
      <c r="B215" s="28">
        <v>47531738</v>
      </c>
      <c r="C215" s="28">
        <v>47531780</v>
      </c>
      <c r="D215" s="26">
        <v>45972</v>
      </c>
      <c r="E215" s="29">
        <v>1083469578</v>
      </c>
      <c r="F215" s="28" t="s">
        <v>87</v>
      </c>
      <c r="G215" s="32">
        <v>25000</v>
      </c>
      <c r="H215" s="23">
        <f t="shared" si="3"/>
        <v>8750</v>
      </c>
      <c r="I215" s="28" t="s">
        <v>9</v>
      </c>
      <c r="J215" s="13" t="s">
        <v>15</v>
      </c>
      <c r="K215" s="28" t="s">
        <v>343</v>
      </c>
    </row>
    <row r="216" spans="1:11" ht="30.75" customHeight="1" x14ac:dyDescent="0.25">
      <c r="A216" s="22" t="s">
        <v>44</v>
      </c>
      <c r="B216" s="28">
        <v>47531982</v>
      </c>
      <c r="C216" s="28">
        <v>47532009</v>
      </c>
      <c r="D216" s="26">
        <v>45972</v>
      </c>
      <c r="E216" s="29">
        <v>1083469578</v>
      </c>
      <c r="F216" s="28" t="s">
        <v>87</v>
      </c>
      <c r="G216" s="32">
        <v>25000</v>
      </c>
      <c r="H216" s="23">
        <f t="shared" si="3"/>
        <v>8750</v>
      </c>
      <c r="I216" s="28" t="s">
        <v>9</v>
      </c>
      <c r="J216" s="13" t="s">
        <v>15</v>
      </c>
      <c r="K216" s="28" t="s">
        <v>344</v>
      </c>
    </row>
    <row r="217" spans="1:11" ht="30.75" customHeight="1" x14ac:dyDescent="0.25">
      <c r="A217" s="22" t="s">
        <v>44</v>
      </c>
      <c r="B217" s="28">
        <v>47531746</v>
      </c>
      <c r="C217" s="28">
        <v>47531778</v>
      </c>
      <c r="D217" s="26">
        <v>45972</v>
      </c>
      <c r="E217" s="29">
        <v>1083469578</v>
      </c>
      <c r="F217" s="28" t="s">
        <v>87</v>
      </c>
      <c r="G217" s="32">
        <v>25000</v>
      </c>
      <c r="H217" s="23">
        <f t="shared" si="3"/>
        <v>8750</v>
      </c>
      <c r="I217" s="28" t="s">
        <v>9</v>
      </c>
      <c r="J217" s="13" t="s">
        <v>15</v>
      </c>
      <c r="K217" s="28" t="s">
        <v>345</v>
      </c>
    </row>
    <row r="218" spans="1:11" ht="30.75" customHeight="1" x14ac:dyDescent="0.25">
      <c r="A218" s="22" t="s">
        <v>44</v>
      </c>
      <c r="B218" s="28">
        <v>47531983</v>
      </c>
      <c r="C218" s="28">
        <v>47532013</v>
      </c>
      <c r="D218" s="26">
        <v>45972</v>
      </c>
      <c r="E218" s="29">
        <v>1083469578</v>
      </c>
      <c r="F218" s="28" t="s">
        <v>87</v>
      </c>
      <c r="G218" s="32">
        <v>25000</v>
      </c>
      <c r="H218" s="23">
        <f t="shared" si="3"/>
        <v>8750</v>
      </c>
      <c r="I218" s="28" t="s">
        <v>9</v>
      </c>
      <c r="J218" s="13" t="s">
        <v>15</v>
      </c>
      <c r="K218" s="28" t="s">
        <v>346</v>
      </c>
    </row>
    <row r="219" spans="1:11" ht="30.75" customHeight="1" x14ac:dyDescent="0.25">
      <c r="A219" s="22" t="s">
        <v>44</v>
      </c>
      <c r="B219" s="28">
        <v>47531734</v>
      </c>
      <c r="C219" s="28">
        <v>47531786</v>
      </c>
      <c r="D219" s="26">
        <v>45972</v>
      </c>
      <c r="E219" s="29">
        <v>1083469578</v>
      </c>
      <c r="F219" s="28" t="s">
        <v>87</v>
      </c>
      <c r="G219" s="32">
        <v>25000</v>
      </c>
      <c r="H219" s="23">
        <f t="shared" si="3"/>
        <v>8750</v>
      </c>
      <c r="I219" s="28" t="s">
        <v>9</v>
      </c>
      <c r="J219" s="13" t="s">
        <v>15</v>
      </c>
      <c r="K219" s="28" t="s">
        <v>347</v>
      </c>
    </row>
    <row r="220" spans="1:11" ht="30.75" customHeight="1" x14ac:dyDescent="0.25">
      <c r="A220" s="22" t="s">
        <v>44</v>
      </c>
      <c r="B220" s="28">
        <v>47531986</v>
      </c>
      <c r="C220" s="28">
        <v>47532016</v>
      </c>
      <c r="D220" s="26">
        <v>45972</v>
      </c>
      <c r="E220" s="29">
        <v>1083469578</v>
      </c>
      <c r="F220" s="28" t="s">
        <v>87</v>
      </c>
      <c r="G220" s="32">
        <v>25000</v>
      </c>
      <c r="H220" s="23">
        <f t="shared" si="3"/>
        <v>8750</v>
      </c>
      <c r="I220" s="28" t="s">
        <v>9</v>
      </c>
      <c r="J220" s="13" t="s">
        <v>15</v>
      </c>
      <c r="K220" s="28" t="s">
        <v>348</v>
      </c>
    </row>
    <row r="221" spans="1:11" ht="30.75" customHeight="1" x14ac:dyDescent="0.25">
      <c r="A221" s="22" t="s">
        <v>44</v>
      </c>
      <c r="B221" s="28">
        <v>47531740</v>
      </c>
      <c r="C221" s="28">
        <v>47531783</v>
      </c>
      <c r="D221" s="26">
        <v>45972</v>
      </c>
      <c r="E221" s="29">
        <v>1083469578</v>
      </c>
      <c r="F221" s="28" t="s">
        <v>87</v>
      </c>
      <c r="G221" s="32">
        <v>25000</v>
      </c>
      <c r="H221" s="23">
        <f t="shared" si="3"/>
        <v>8750</v>
      </c>
      <c r="I221" s="28" t="s">
        <v>9</v>
      </c>
      <c r="J221" s="13" t="s">
        <v>15</v>
      </c>
      <c r="K221" s="28" t="s">
        <v>349</v>
      </c>
    </row>
    <row r="222" spans="1:11" ht="30.75" customHeight="1" x14ac:dyDescent="0.25">
      <c r="A222" s="22" t="s">
        <v>44</v>
      </c>
      <c r="B222" s="28">
        <v>47531987</v>
      </c>
      <c r="C222" s="28">
        <v>47532020</v>
      </c>
      <c r="D222" s="26">
        <v>45972</v>
      </c>
      <c r="E222" s="29">
        <v>1083469578</v>
      </c>
      <c r="F222" s="28" t="s">
        <v>87</v>
      </c>
      <c r="G222" s="32">
        <v>25000</v>
      </c>
      <c r="H222" s="23">
        <f t="shared" si="3"/>
        <v>8750</v>
      </c>
      <c r="I222" s="28" t="s">
        <v>9</v>
      </c>
      <c r="J222" s="13" t="s">
        <v>15</v>
      </c>
      <c r="K222" s="28" t="s">
        <v>350</v>
      </c>
    </row>
    <row r="223" spans="1:11" ht="30.75" customHeight="1" x14ac:dyDescent="0.25">
      <c r="A223" s="22" t="s">
        <v>44</v>
      </c>
      <c r="B223" s="28">
        <v>47531825</v>
      </c>
      <c r="C223" s="28">
        <v>47531844</v>
      </c>
      <c r="D223" s="26">
        <v>45972</v>
      </c>
      <c r="E223" s="29">
        <v>1083469578</v>
      </c>
      <c r="F223" s="28" t="s">
        <v>87</v>
      </c>
      <c r="G223" s="32">
        <v>25000</v>
      </c>
      <c r="H223" s="23">
        <f t="shared" si="3"/>
        <v>8750</v>
      </c>
      <c r="I223" s="28" t="s">
        <v>9</v>
      </c>
      <c r="J223" s="13" t="s">
        <v>15</v>
      </c>
      <c r="K223" s="28" t="s">
        <v>351</v>
      </c>
    </row>
    <row r="224" spans="1:11" ht="30.75" customHeight="1" x14ac:dyDescent="0.25">
      <c r="A224" s="22" t="s">
        <v>44</v>
      </c>
      <c r="B224" s="28">
        <v>47531988</v>
      </c>
      <c r="C224" s="28">
        <v>47532022</v>
      </c>
      <c r="D224" s="26">
        <v>45972</v>
      </c>
      <c r="E224" s="29">
        <v>1083469578</v>
      </c>
      <c r="F224" s="28" t="s">
        <v>87</v>
      </c>
      <c r="G224" s="32">
        <v>25000</v>
      </c>
      <c r="H224" s="23">
        <f t="shared" si="3"/>
        <v>8750</v>
      </c>
      <c r="I224" s="28" t="s">
        <v>9</v>
      </c>
      <c r="J224" s="13" t="s">
        <v>15</v>
      </c>
      <c r="K224" s="28" t="s">
        <v>352</v>
      </c>
    </row>
    <row r="225" spans="1:11" ht="30.75" customHeight="1" x14ac:dyDescent="0.25">
      <c r="A225" s="22" t="s">
        <v>44</v>
      </c>
      <c r="B225" s="28">
        <v>47531828</v>
      </c>
      <c r="C225" s="28">
        <v>47531849</v>
      </c>
      <c r="D225" s="26">
        <v>45972</v>
      </c>
      <c r="E225" s="29">
        <v>1083469578</v>
      </c>
      <c r="F225" s="28" t="s">
        <v>87</v>
      </c>
      <c r="G225" s="32">
        <v>25000</v>
      </c>
      <c r="H225" s="23">
        <f t="shared" si="3"/>
        <v>8750</v>
      </c>
      <c r="I225" s="28" t="s">
        <v>9</v>
      </c>
      <c r="J225" s="13" t="s">
        <v>15</v>
      </c>
      <c r="K225" s="28" t="s">
        <v>353</v>
      </c>
    </row>
    <row r="226" spans="1:11" ht="30.75" customHeight="1" x14ac:dyDescent="0.25">
      <c r="A226" s="22" t="s">
        <v>44</v>
      </c>
      <c r="B226" s="28">
        <v>47532110</v>
      </c>
      <c r="C226" s="28">
        <v>47532125</v>
      </c>
      <c r="D226" s="26">
        <v>45972</v>
      </c>
      <c r="E226" s="29">
        <v>1083469578</v>
      </c>
      <c r="F226" s="28" t="s">
        <v>87</v>
      </c>
      <c r="G226" s="32">
        <v>25000</v>
      </c>
      <c r="H226" s="23">
        <f t="shared" si="3"/>
        <v>8750</v>
      </c>
      <c r="I226" s="28" t="s">
        <v>9</v>
      </c>
      <c r="J226" s="13" t="s">
        <v>15</v>
      </c>
      <c r="K226" s="28" t="s">
        <v>354</v>
      </c>
    </row>
    <row r="227" spans="1:11" ht="30.75" customHeight="1" x14ac:dyDescent="0.25">
      <c r="A227" s="22" t="s">
        <v>44</v>
      </c>
      <c r="B227" s="28">
        <v>47531829</v>
      </c>
      <c r="C227" s="28">
        <v>47531853</v>
      </c>
      <c r="D227" s="26">
        <v>45972</v>
      </c>
      <c r="E227" s="29">
        <v>1083469578</v>
      </c>
      <c r="F227" s="28" t="s">
        <v>87</v>
      </c>
      <c r="G227" s="32">
        <v>25000</v>
      </c>
      <c r="H227" s="23">
        <f t="shared" si="3"/>
        <v>8750</v>
      </c>
      <c r="I227" s="28" t="s">
        <v>9</v>
      </c>
      <c r="J227" s="13" t="s">
        <v>15</v>
      </c>
      <c r="K227" s="28" t="s">
        <v>355</v>
      </c>
    </row>
    <row r="228" spans="1:11" ht="30.75" customHeight="1" x14ac:dyDescent="0.25">
      <c r="A228" s="22" t="s">
        <v>44</v>
      </c>
      <c r="B228" s="28">
        <v>47532111</v>
      </c>
      <c r="C228" s="28">
        <v>47532130</v>
      </c>
      <c r="D228" s="26">
        <v>45972</v>
      </c>
      <c r="E228" s="29">
        <v>1083469578</v>
      </c>
      <c r="F228" s="28" t="s">
        <v>87</v>
      </c>
      <c r="G228" s="32">
        <v>25000</v>
      </c>
      <c r="H228" s="23">
        <f t="shared" si="3"/>
        <v>8750</v>
      </c>
      <c r="I228" s="28" t="s">
        <v>9</v>
      </c>
      <c r="J228" s="13" t="s">
        <v>15</v>
      </c>
      <c r="K228" s="28" t="s">
        <v>356</v>
      </c>
    </row>
    <row r="229" spans="1:11" ht="30.75" customHeight="1" x14ac:dyDescent="0.25">
      <c r="A229" s="22" t="s">
        <v>44</v>
      </c>
      <c r="B229" s="28">
        <v>47531830</v>
      </c>
      <c r="C229" s="28">
        <v>47531857</v>
      </c>
      <c r="D229" s="26">
        <v>45972</v>
      </c>
      <c r="E229" s="29">
        <v>1083469578</v>
      </c>
      <c r="F229" s="28" t="s">
        <v>87</v>
      </c>
      <c r="G229" s="32">
        <v>25000</v>
      </c>
      <c r="H229" s="23">
        <f t="shared" si="3"/>
        <v>8750</v>
      </c>
      <c r="I229" s="28" t="s">
        <v>9</v>
      </c>
      <c r="J229" s="13" t="s">
        <v>15</v>
      </c>
      <c r="K229" s="28" t="s">
        <v>357</v>
      </c>
    </row>
    <row r="230" spans="1:11" ht="30.75" customHeight="1" x14ac:dyDescent="0.25">
      <c r="A230" s="22" t="s">
        <v>44</v>
      </c>
      <c r="B230" s="28">
        <v>47532112</v>
      </c>
      <c r="C230" s="28">
        <v>47532120</v>
      </c>
      <c r="D230" s="26">
        <v>45972</v>
      </c>
      <c r="E230" s="29">
        <v>1083469578</v>
      </c>
      <c r="F230" s="28" t="s">
        <v>87</v>
      </c>
      <c r="G230" s="32">
        <v>25000</v>
      </c>
      <c r="H230" s="23">
        <f t="shared" si="3"/>
        <v>8750</v>
      </c>
      <c r="I230" s="28" t="s">
        <v>9</v>
      </c>
      <c r="J230" s="13" t="s">
        <v>15</v>
      </c>
      <c r="K230" s="28" t="s">
        <v>358</v>
      </c>
    </row>
    <row r="231" spans="1:11" ht="30.75" customHeight="1" x14ac:dyDescent="0.25">
      <c r="A231" s="22" t="s">
        <v>44</v>
      </c>
      <c r="B231" s="28">
        <v>47531831</v>
      </c>
      <c r="C231" s="28">
        <v>47531859</v>
      </c>
      <c r="D231" s="26">
        <v>45972</v>
      </c>
      <c r="E231" s="29">
        <v>1083469578</v>
      </c>
      <c r="F231" s="28" t="s">
        <v>87</v>
      </c>
      <c r="G231" s="32">
        <v>25000</v>
      </c>
      <c r="H231" s="23">
        <f t="shared" si="3"/>
        <v>8750</v>
      </c>
      <c r="I231" s="28" t="s">
        <v>9</v>
      </c>
      <c r="J231" s="13" t="s">
        <v>15</v>
      </c>
      <c r="K231" s="28" t="s">
        <v>359</v>
      </c>
    </row>
    <row r="232" spans="1:11" ht="30.75" customHeight="1" x14ac:dyDescent="0.25">
      <c r="A232" s="22" t="s">
        <v>44</v>
      </c>
      <c r="B232" s="28">
        <v>47532113</v>
      </c>
      <c r="C232" s="28">
        <v>47532122</v>
      </c>
      <c r="D232" s="26">
        <v>45972</v>
      </c>
      <c r="E232" s="29">
        <v>1083469578</v>
      </c>
      <c r="F232" s="28" t="s">
        <v>87</v>
      </c>
      <c r="G232" s="32">
        <v>25000</v>
      </c>
      <c r="H232" s="23">
        <f t="shared" si="3"/>
        <v>8750</v>
      </c>
      <c r="I232" s="28" t="s">
        <v>9</v>
      </c>
      <c r="J232" s="13" t="s">
        <v>15</v>
      </c>
      <c r="K232" s="28" t="s">
        <v>360</v>
      </c>
    </row>
    <row r="233" spans="1:11" ht="30.75" customHeight="1" x14ac:dyDescent="0.25">
      <c r="A233" s="22" t="s">
        <v>44</v>
      </c>
      <c r="B233" s="28">
        <v>47532660</v>
      </c>
      <c r="C233" s="28">
        <v>47532664</v>
      </c>
      <c r="D233" s="26">
        <v>45972</v>
      </c>
      <c r="E233" s="29">
        <v>85260647</v>
      </c>
      <c r="F233" s="28" t="s">
        <v>30</v>
      </c>
      <c r="G233" s="32">
        <v>25000</v>
      </c>
      <c r="H233" s="23">
        <f t="shared" si="3"/>
        <v>8750</v>
      </c>
      <c r="I233" s="28" t="s">
        <v>9</v>
      </c>
      <c r="J233" s="13" t="s">
        <v>15</v>
      </c>
      <c r="K233" s="28" t="s">
        <v>361</v>
      </c>
    </row>
    <row r="234" spans="1:11" ht="30.75" customHeight="1" x14ac:dyDescent="0.25">
      <c r="A234" s="22" t="s">
        <v>44</v>
      </c>
      <c r="B234" s="28">
        <v>47532666</v>
      </c>
      <c r="C234" s="28">
        <v>47532668</v>
      </c>
      <c r="D234" s="26">
        <v>45972</v>
      </c>
      <c r="E234" s="29">
        <v>85260647</v>
      </c>
      <c r="F234" s="28" t="s">
        <v>30</v>
      </c>
      <c r="G234" s="32">
        <v>25000</v>
      </c>
      <c r="H234" s="23">
        <f t="shared" si="3"/>
        <v>8750</v>
      </c>
      <c r="I234" s="28" t="s">
        <v>9</v>
      </c>
      <c r="J234" s="13" t="s">
        <v>15</v>
      </c>
      <c r="K234" s="28" t="s">
        <v>362</v>
      </c>
    </row>
    <row r="235" spans="1:11" ht="30.75" customHeight="1" x14ac:dyDescent="0.25">
      <c r="A235" s="22" t="s">
        <v>44</v>
      </c>
      <c r="B235" s="28">
        <v>47532674</v>
      </c>
      <c r="C235" s="28">
        <v>47532676</v>
      </c>
      <c r="D235" s="26">
        <v>45972</v>
      </c>
      <c r="E235" s="29">
        <v>85260647</v>
      </c>
      <c r="F235" s="28" t="s">
        <v>30</v>
      </c>
      <c r="G235" s="32">
        <v>25000</v>
      </c>
      <c r="H235" s="23">
        <f t="shared" si="3"/>
        <v>8750</v>
      </c>
      <c r="I235" s="28" t="s">
        <v>9</v>
      </c>
      <c r="J235" s="13" t="s">
        <v>15</v>
      </c>
      <c r="K235" s="28" t="s">
        <v>363</v>
      </c>
    </row>
    <row r="236" spans="1:11" ht="30.75" customHeight="1" x14ac:dyDescent="0.25">
      <c r="A236" s="22" t="s">
        <v>44</v>
      </c>
      <c r="B236" s="28">
        <v>47532682</v>
      </c>
      <c r="C236" s="28">
        <v>47532684</v>
      </c>
      <c r="D236" s="26">
        <v>45972</v>
      </c>
      <c r="E236" s="29">
        <v>85260647</v>
      </c>
      <c r="F236" s="28" t="s">
        <v>30</v>
      </c>
      <c r="G236" s="32">
        <v>25000</v>
      </c>
      <c r="H236" s="23">
        <f t="shared" si="3"/>
        <v>8750</v>
      </c>
      <c r="I236" s="28" t="s">
        <v>9</v>
      </c>
      <c r="J236" s="13" t="s">
        <v>15</v>
      </c>
      <c r="K236" s="28" t="s">
        <v>364</v>
      </c>
    </row>
    <row r="237" spans="1:11" ht="30.75" customHeight="1" x14ac:dyDescent="0.25">
      <c r="A237" s="22" t="s">
        <v>44</v>
      </c>
      <c r="B237" s="28">
        <v>47532689</v>
      </c>
      <c r="C237" s="28">
        <v>47532693</v>
      </c>
      <c r="D237" s="26">
        <v>45972</v>
      </c>
      <c r="E237" s="29">
        <v>85260647</v>
      </c>
      <c r="F237" s="28" t="s">
        <v>30</v>
      </c>
      <c r="G237" s="32">
        <v>25000</v>
      </c>
      <c r="H237" s="23">
        <f t="shared" si="3"/>
        <v>8750</v>
      </c>
      <c r="I237" s="28" t="s">
        <v>9</v>
      </c>
      <c r="J237" s="13" t="s">
        <v>15</v>
      </c>
      <c r="K237" s="28" t="s">
        <v>365</v>
      </c>
    </row>
    <row r="238" spans="1:11" ht="30.75" customHeight="1" x14ac:dyDescent="0.25">
      <c r="A238" s="22" t="s">
        <v>44</v>
      </c>
      <c r="B238" s="28">
        <v>47532696</v>
      </c>
      <c r="C238" s="28">
        <v>47532698</v>
      </c>
      <c r="D238" s="26">
        <v>45972</v>
      </c>
      <c r="E238" s="29">
        <v>85260647</v>
      </c>
      <c r="F238" s="28" t="s">
        <v>30</v>
      </c>
      <c r="G238" s="32">
        <v>25000</v>
      </c>
      <c r="H238" s="23">
        <f t="shared" si="3"/>
        <v>8750</v>
      </c>
      <c r="I238" s="28" t="s">
        <v>9</v>
      </c>
      <c r="J238" s="13" t="s">
        <v>15</v>
      </c>
      <c r="K238" s="28" t="s">
        <v>366</v>
      </c>
    </row>
    <row r="239" spans="1:11" ht="30.75" customHeight="1" x14ac:dyDescent="0.25">
      <c r="A239" s="22" t="s">
        <v>44</v>
      </c>
      <c r="B239" s="28">
        <v>47501967</v>
      </c>
      <c r="C239" s="28">
        <v>47502143</v>
      </c>
      <c r="D239" s="26">
        <v>45973</v>
      </c>
      <c r="E239" s="29">
        <v>2758216</v>
      </c>
      <c r="F239" s="28" t="s">
        <v>88</v>
      </c>
      <c r="G239" s="32">
        <v>148000</v>
      </c>
      <c r="H239" s="23">
        <f t="shared" si="3"/>
        <v>51800</v>
      </c>
      <c r="I239" s="28" t="s">
        <v>11</v>
      </c>
      <c r="J239" s="13" t="s">
        <v>13</v>
      </c>
      <c r="K239" s="28" t="s">
        <v>367</v>
      </c>
    </row>
    <row r="240" spans="1:11" ht="30.75" customHeight="1" x14ac:dyDescent="0.25">
      <c r="A240" s="22" t="s">
        <v>44</v>
      </c>
      <c r="B240" s="28">
        <v>47548574</v>
      </c>
      <c r="C240" s="28">
        <v>47548655</v>
      </c>
      <c r="D240" s="26">
        <v>45973</v>
      </c>
      <c r="E240" s="29">
        <v>91216291</v>
      </c>
      <c r="F240" s="28" t="s">
        <v>69</v>
      </c>
      <c r="G240" s="32">
        <v>75901</v>
      </c>
      <c r="H240" s="23">
        <f t="shared" si="3"/>
        <v>26565.35</v>
      </c>
      <c r="I240" s="28" t="s">
        <v>11</v>
      </c>
      <c r="J240" s="13" t="s">
        <v>13</v>
      </c>
      <c r="K240" s="28" t="s">
        <v>368</v>
      </c>
    </row>
    <row r="241" spans="1:11" ht="30.75" customHeight="1" x14ac:dyDescent="0.25">
      <c r="A241" s="22" t="s">
        <v>44</v>
      </c>
      <c r="B241" s="28">
        <v>47348874</v>
      </c>
      <c r="C241" s="28">
        <v>47348921</v>
      </c>
      <c r="D241" s="26">
        <v>45954</v>
      </c>
      <c r="E241" s="29">
        <v>1193230361</v>
      </c>
      <c r="F241" s="28" t="s">
        <v>53</v>
      </c>
      <c r="G241" s="32">
        <v>25000</v>
      </c>
      <c r="H241" s="23">
        <f t="shared" si="3"/>
        <v>8750</v>
      </c>
      <c r="I241" s="28" t="s">
        <v>9</v>
      </c>
      <c r="J241" s="13" t="s">
        <v>15</v>
      </c>
      <c r="K241" s="28" t="s">
        <v>369</v>
      </c>
    </row>
    <row r="242" spans="1:11" ht="30.75" customHeight="1" x14ac:dyDescent="0.25">
      <c r="A242" s="22" t="s">
        <v>44</v>
      </c>
      <c r="B242" s="28">
        <v>47348875</v>
      </c>
      <c r="C242" s="28">
        <v>47348924</v>
      </c>
      <c r="D242" s="26">
        <v>45954</v>
      </c>
      <c r="E242" s="29">
        <v>1193230361</v>
      </c>
      <c r="F242" s="28" t="s">
        <v>53</v>
      </c>
      <c r="G242" s="32">
        <v>25000</v>
      </c>
      <c r="H242" s="23">
        <f t="shared" si="3"/>
        <v>8750</v>
      </c>
      <c r="I242" s="28" t="s">
        <v>9</v>
      </c>
      <c r="J242" s="13" t="s">
        <v>15</v>
      </c>
      <c r="K242" s="28" t="s">
        <v>370</v>
      </c>
    </row>
    <row r="243" spans="1:11" ht="30.75" customHeight="1" x14ac:dyDescent="0.25">
      <c r="A243" s="22" t="s">
        <v>44</v>
      </c>
      <c r="B243" s="28">
        <v>47546013</v>
      </c>
      <c r="C243" s="28">
        <v>47546018</v>
      </c>
      <c r="D243" s="26">
        <v>45973</v>
      </c>
      <c r="E243" s="29">
        <v>1193230361</v>
      </c>
      <c r="F243" s="28" t="s">
        <v>53</v>
      </c>
      <c r="G243" s="32">
        <v>25000</v>
      </c>
      <c r="H243" s="23">
        <f t="shared" si="3"/>
        <v>8750</v>
      </c>
      <c r="I243" s="28" t="s">
        <v>9</v>
      </c>
      <c r="J243" s="13" t="s">
        <v>15</v>
      </c>
      <c r="K243" s="28" t="s">
        <v>371</v>
      </c>
    </row>
    <row r="244" spans="1:11" ht="30.75" customHeight="1" x14ac:dyDescent="0.25">
      <c r="A244" s="22" t="s">
        <v>44</v>
      </c>
      <c r="B244" s="28">
        <v>47546039</v>
      </c>
      <c r="C244" s="28">
        <v>47546041</v>
      </c>
      <c r="D244" s="26">
        <v>45973</v>
      </c>
      <c r="E244" s="29">
        <v>1193230361</v>
      </c>
      <c r="F244" s="28" t="s">
        <v>53</v>
      </c>
      <c r="G244" s="32">
        <v>25000</v>
      </c>
      <c r="H244" s="23">
        <f t="shared" si="3"/>
        <v>8750</v>
      </c>
      <c r="I244" s="28" t="s">
        <v>9</v>
      </c>
      <c r="J244" s="13" t="s">
        <v>15</v>
      </c>
      <c r="K244" s="28" t="s">
        <v>372</v>
      </c>
    </row>
    <row r="245" spans="1:11" ht="30.75" customHeight="1" x14ac:dyDescent="0.25">
      <c r="A245" s="22" t="s">
        <v>44</v>
      </c>
      <c r="B245" s="28">
        <v>47546062</v>
      </c>
      <c r="C245" s="28">
        <v>47546064</v>
      </c>
      <c r="D245" s="26">
        <v>45973</v>
      </c>
      <c r="E245" s="29">
        <v>1193230361</v>
      </c>
      <c r="F245" s="28" t="s">
        <v>53</v>
      </c>
      <c r="G245" s="32">
        <v>25000</v>
      </c>
      <c r="H245" s="23">
        <f t="shared" si="3"/>
        <v>8750</v>
      </c>
      <c r="I245" s="28" t="s">
        <v>9</v>
      </c>
      <c r="J245" s="13" t="s">
        <v>15</v>
      </c>
      <c r="K245" s="28" t="s">
        <v>373</v>
      </c>
    </row>
    <row r="246" spans="1:11" ht="30.75" customHeight="1" x14ac:dyDescent="0.25">
      <c r="A246" s="22" t="s">
        <v>44</v>
      </c>
      <c r="B246" s="28">
        <v>47546679</v>
      </c>
      <c r="C246" s="28">
        <v>47546684</v>
      </c>
      <c r="D246" s="26">
        <v>45973</v>
      </c>
      <c r="E246" s="29">
        <v>1193230361</v>
      </c>
      <c r="F246" s="28" t="s">
        <v>53</v>
      </c>
      <c r="G246" s="32">
        <v>25000</v>
      </c>
      <c r="H246" s="23">
        <f t="shared" si="3"/>
        <v>8750</v>
      </c>
      <c r="I246" s="28" t="s">
        <v>9</v>
      </c>
      <c r="J246" s="13" t="s">
        <v>15</v>
      </c>
      <c r="K246" s="28" t="s">
        <v>374</v>
      </c>
    </row>
    <row r="247" spans="1:11" ht="30.75" customHeight="1" x14ac:dyDescent="0.25">
      <c r="A247" s="22" t="s">
        <v>44</v>
      </c>
      <c r="B247" s="28">
        <v>47590364</v>
      </c>
      <c r="C247" s="28">
        <v>47590366</v>
      </c>
      <c r="D247" s="26">
        <v>45980</v>
      </c>
      <c r="E247" s="29">
        <v>1193230361</v>
      </c>
      <c r="F247" s="28" t="s">
        <v>53</v>
      </c>
      <c r="G247" s="32">
        <v>25000</v>
      </c>
      <c r="H247" s="23">
        <f t="shared" si="3"/>
        <v>8750</v>
      </c>
      <c r="I247" s="28" t="s">
        <v>9</v>
      </c>
      <c r="J247" s="13" t="s">
        <v>15</v>
      </c>
      <c r="K247" s="28" t="s">
        <v>375</v>
      </c>
    </row>
    <row r="248" spans="1:11" ht="30.75" customHeight="1" x14ac:dyDescent="0.25">
      <c r="A248" s="22" t="s">
        <v>44</v>
      </c>
      <c r="B248" s="28">
        <v>47590478</v>
      </c>
      <c r="C248" s="28">
        <v>47590481</v>
      </c>
      <c r="D248" s="26">
        <v>45980</v>
      </c>
      <c r="E248" s="29">
        <v>1193230361</v>
      </c>
      <c r="F248" s="28" t="s">
        <v>53</v>
      </c>
      <c r="G248" s="32">
        <v>25000</v>
      </c>
      <c r="H248" s="23">
        <f t="shared" si="3"/>
        <v>8750</v>
      </c>
      <c r="I248" s="28" t="s">
        <v>9</v>
      </c>
      <c r="J248" s="13" t="s">
        <v>15</v>
      </c>
      <c r="K248" s="28" t="s">
        <v>376</v>
      </c>
    </row>
    <row r="249" spans="1:11" ht="30.75" customHeight="1" x14ac:dyDescent="0.25">
      <c r="A249" s="22" t="s">
        <v>44</v>
      </c>
      <c r="B249" s="28">
        <v>47590354</v>
      </c>
      <c r="C249" s="28">
        <v>47590369</v>
      </c>
      <c r="D249" s="26">
        <v>45980</v>
      </c>
      <c r="E249" s="29">
        <v>1193230361</v>
      </c>
      <c r="F249" s="28" t="s">
        <v>53</v>
      </c>
      <c r="G249" s="32">
        <v>25000</v>
      </c>
      <c r="H249" s="23">
        <f t="shared" si="3"/>
        <v>8750</v>
      </c>
      <c r="I249" s="28" t="s">
        <v>9</v>
      </c>
      <c r="J249" s="13" t="s">
        <v>15</v>
      </c>
      <c r="K249" s="28" t="s">
        <v>377</v>
      </c>
    </row>
    <row r="250" spans="1:11" ht="30.75" customHeight="1" x14ac:dyDescent="0.25">
      <c r="A250" s="22" t="s">
        <v>44</v>
      </c>
      <c r="B250" s="28">
        <v>47590473</v>
      </c>
      <c r="C250" s="28">
        <v>47590490</v>
      </c>
      <c r="D250" s="26">
        <v>45980</v>
      </c>
      <c r="E250" s="29">
        <v>1193230361</v>
      </c>
      <c r="F250" s="28" t="s">
        <v>53</v>
      </c>
      <c r="G250" s="32">
        <v>25000</v>
      </c>
      <c r="H250" s="23">
        <f t="shared" si="3"/>
        <v>8750</v>
      </c>
      <c r="I250" s="28" t="s">
        <v>9</v>
      </c>
      <c r="J250" s="13" t="s">
        <v>15</v>
      </c>
      <c r="K250" s="28" t="s">
        <v>378</v>
      </c>
    </row>
    <row r="251" spans="1:11" ht="30.75" customHeight="1" x14ac:dyDescent="0.25">
      <c r="A251" s="22" t="s">
        <v>44</v>
      </c>
      <c r="B251" s="28">
        <v>47590352</v>
      </c>
      <c r="C251" s="28">
        <v>47590381</v>
      </c>
      <c r="D251" s="26">
        <v>45980</v>
      </c>
      <c r="E251" s="29">
        <v>1193230361</v>
      </c>
      <c r="F251" s="28" t="s">
        <v>53</v>
      </c>
      <c r="G251" s="32">
        <v>25000</v>
      </c>
      <c r="H251" s="23">
        <f t="shared" si="3"/>
        <v>8750</v>
      </c>
      <c r="I251" s="28" t="s">
        <v>9</v>
      </c>
      <c r="J251" s="13" t="s">
        <v>15</v>
      </c>
      <c r="K251" s="28" t="s">
        <v>379</v>
      </c>
    </row>
    <row r="252" spans="1:11" ht="30.75" customHeight="1" x14ac:dyDescent="0.25">
      <c r="A252" s="22" t="s">
        <v>44</v>
      </c>
      <c r="B252" s="28">
        <v>47590472</v>
      </c>
      <c r="C252" s="28">
        <v>47590496</v>
      </c>
      <c r="D252" s="26">
        <v>45980</v>
      </c>
      <c r="E252" s="29">
        <v>1193230361</v>
      </c>
      <c r="F252" s="28" t="s">
        <v>53</v>
      </c>
      <c r="G252" s="32">
        <v>25000</v>
      </c>
      <c r="H252" s="23">
        <f t="shared" si="3"/>
        <v>8750</v>
      </c>
      <c r="I252" s="28" t="s">
        <v>9</v>
      </c>
      <c r="J252" s="13" t="s">
        <v>15</v>
      </c>
      <c r="K252" s="28" t="s">
        <v>380</v>
      </c>
    </row>
    <row r="253" spans="1:11" ht="30.75" customHeight="1" x14ac:dyDescent="0.25">
      <c r="A253" s="22" t="s">
        <v>44</v>
      </c>
      <c r="B253" s="28">
        <v>47590342</v>
      </c>
      <c r="C253" s="28">
        <v>47590383</v>
      </c>
      <c r="D253" s="26">
        <v>45980</v>
      </c>
      <c r="E253" s="29">
        <v>1193230361</v>
      </c>
      <c r="F253" s="28" t="s">
        <v>53</v>
      </c>
      <c r="G253" s="32">
        <v>25000</v>
      </c>
      <c r="H253" s="23">
        <f t="shared" si="3"/>
        <v>8750</v>
      </c>
      <c r="I253" s="28" t="s">
        <v>9</v>
      </c>
      <c r="J253" s="13" t="s">
        <v>15</v>
      </c>
      <c r="K253" s="28" t="s">
        <v>381</v>
      </c>
    </row>
    <row r="254" spans="1:11" ht="30.75" customHeight="1" x14ac:dyDescent="0.25">
      <c r="A254" s="22" t="s">
        <v>44</v>
      </c>
      <c r="B254" s="28">
        <v>47590470</v>
      </c>
      <c r="C254" s="28">
        <v>47590500</v>
      </c>
      <c r="D254" s="26">
        <v>45980</v>
      </c>
      <c r="E254" s="29">
        <v>1193230361</v>
      </c>
      <c r="F254" s="28" t="s">
        <v>53</v>
      </c>
      <c r="G254" s="32">
        <v>25000</v>
      </c>
      <c r="H254" s="23">
        <f t="shared" si="3"/>
        <v>8750</v>
      </c>
      <c r="I254" s="28" t="s">
        <v>9</v>
      </c>
      <c r="J254" s="13" t="s">
        <v>15</v>
      </c>
      <c r="K254" s="28" t="s">
        <v>382</v>
      </c>
    </row>
    <row r="255" spans="1:11" ht="30.75" customHeight="1" x14ac:dyDescent="0.25">
      <c r="A255" s="22" t="s">
        <v>44</v>
      </c>
      <c r="B255" s="28">
        <v>47395054</v>
      </c>
      <c r="C255" s="28">
        <v>47395056</v>
      </c>
      <c r="D255" s="26">
        <v>45959</v>
      </c>
      <c r="E255" s="29">
        <v>1193230361</v>
      </c>
      <c r="F255" s="28" t="s">
        <v>53</v>
      </c>
      <c r="G255" s="32">
        <v>25000</v>
      </c>
      <c r="H255" s="23">
        <f t="shared" si="3"/>
        <v>8750</v>
      </c>
      <c r="I255" s="28" t="s">
        <v>9</v>
      </c>
      <c r="J255" s="13" t="s">
        <v>15</v>
      </c>
      <c r="K255" s="28" t="s">
        <v>383</v>
      </c>
    </row>
    <row r="256" spans="1:11" ht="30.75" customHeight="1" x14ac:dyDescent="0.25">
      <c r="A256" s="22" t="s">
        <v>44</v>
      </c>
      <c r="B256" s="28">
        <v>47395073</v>
      </c>
      <c r="C256" s="28">
        <v>47395081</v>
      </c>
      <c r="D256" s="26">
        <v>45959</v>
      </c>
      <c r="E256" s="29">
        <v>1193230361</v>
      </c>
      <c r="F256" s="28" t="s">
        <v>53</v>
      </c>
      <c r="G256" s="32">
        <v>25000</v>
      </c>
      <c r="H256" s="23">
        <f t="shared" si="3"/>
        <v>8750</v>
      </c>
      <c r="I256" s="28" t="s">
        <v>9</v>
      </c>
      <c r="J256" s="13" t="s">
        <v>15</v>
      </c>
      <c r="K256" s="28" t="s">
        <v>384</v>
      </c>
    </row>
    <row r="257" spans="1:11" ht="30.75" customHeight="1" x14ac:dyDescent="0.25">
      <c r="A257" s="22" t="s">
        <v>44</v>
      </c>
      <c r="B257" s="28">
        <v>47544788</v>
      </c>
      <c r="C257" s="28">
        <v>47544797</v>
      </c>
      <c r="D257" s="26">
        <v>45973</v>
      </c>
      <c r="E257" s="29">
        <v>73228451</v>
      </c>
      <c r="F257" s="28" t="s">
        <v>79</v>
      </c>
      <c r="G257" s="32">
        <v>25000</v>
      </c>
      <c r="H257" s="23">
        <f t="shared" si="3"/>
        <v>8750</v>
      </c>
      <c r="I257" s="28" t="s">
        <v>9</v>
      </c>
      <c r="J257" s="13" t="s">
        <v>15</v>
      </c>
      <c r="K257" s="28" t="s">
        <v>385</v>
      </c>
    </row>
    <row r="258" spans="1:11" ht="30.75" customHeight="1" x14ac:dyDescent="0.25">
      <c r="A258" s="22" t="s">
        <v>44</v>
      </c>
      <c r="B258" s="28">
        <v>47544813</v>
      </c>
      <c r="C258" s="28">
        <v>47544818</v>
      </c>
      <c r="D258" s="26">
        <v>45973</v>
      </c>
      <c r="E258" s="29">
        <v>73228451</v>
      </c>
      <c r="F258" s="28" t="s">
        <v>79</v>
      </c>
      <c r="G258" s="32">
        <v>25000</v>
      </c>
      <c r="H258" s="23">
        <f t="shared" si="3"/>
        <v>8750</v>
      </c>
      <c r="I258" s="28" t="s">
        <v>9</v>
      </c>
      <c r="J258" s="13" t="s">
        <v>15</v>
      </c>
      <c r="K258" s="28" t="s">
        <v>386</v>
      </c>
    </row>
    <row r="259" spans="1:11" ht="30.75" customHeight="1" x14ac:dyDescent="0.25">
      <c r="A259" s="22" t="s">
        <v>44</v>
      </c>
      <c r="B259" s="28">
        <v>47544851</v>
      </c>
      <c r="C259" s="28">
        <v>47544858</v>
      </c>
      <c r="D259" s="26">
        <v>45973</v>
      </c>
      <c r="E259" s="29">
        <v>73228451</v>
      </c>
      <c r="F259" s="28" t="s">
        <v>79</v>
      </c>
      <c r="G259" s="32">
        <v>25000</v>
      </c>
      <c r="H259" s="23">
        <f t="shared" si="3"/>
        <v>8750</v>
      </c>
      <c r="I259" s="28" t="s">
        <v>9</v>
      </c>
      <c r="J259" s="13" t="s">
        <v>15</v>
      </c>
      <c r="K259" s="28" t="s">
        <v>387</v>
      </c>
    </row>
    <row r="260" spans="1:11" ht="30.75" customHeight="1" x14ac:dyDescent="0.25">
      <c r="A260" s="22" t="s">
        <v>44</v>
      </c>
      <c r="B260" s="28">
        <v>47544868</v>
      </c>
      <c r="C260" s="28">
        <v>47544879</v>
      </c>
      <c r="D260" s="26">
        <v>45973</v>
      </c>
      <c r="E260" s="29">
        <v>73228451</v>
      </c>
      <c r="F260" s="28" t="s">
        <v>79</v>
      </c>
      <c r="G260" s="32">
        <v>25000</v>
      </c>
      <c r="H260" s="23">
        <f t="shared" si="3"/>
        <v>8750</v>
      </c>
      <c r="I260" s="28" t="s">
        <v>9</v>
      </c>
      <c r="J260" s="13" t="s">
        <v>15</v>
      </c>
      <c r="K260" s="28" t="s">
        <v>388</v>
      </c>
    </row>
    <row r="261" spans="1:11" ht="30.75" customHeight="1" x14ac:dyDescent="0.25">
      <c r="A261" s="22" t="s">
        <v>44</v>
      </c>
      <c r="B261" s="28">
        <v>47554931</v>
      </c>
      <c r="C261" s="28">
        <v>47554951</v>
      </c>
      <c r="D261" s="26">
        <v>45973</v>
      </c>
      <c r="E261" s="29">
        <v>85473592</v>
      </c>
      <c r="F261" s="28" t="s">
        <v>89</v>
      </c>
      <c r="G261" s="32">
        <v>25000</v>
      </c>
      <c r="H261" s="23">
        <f t="shared" ref="H261:H324" si="4">+G261*35%</f>
        <v>8750</v>
      </c>
      <c r="I261" s="28" t="s">
        <v>9</v>
      </c>
      <c r="J261" s="13" t="s">
        <v>15</v>
      </c>
      <c r="K261" s="28" t="s">
        <v>389</v>
      </c>
    </row>
    <row r="262" spans="1:11" ht="30.75" customHeight="1" x14ac:dyDescent="0.25">
      <c r="A262" s="22" t="s">
        <v>44</v>
      </c>
      <c r="B262" s="28">
        <v>47554984</v>
      </c>
      <c r="C262" s="28">
        <v>47554999</v>
      </c>
      <c r="D262" s="26">
        <v>45973</v>
      </c>
      <c r="E262" s="29">
        <v>85473592</v>
      </c>
      <c r="F262" s="28" t="s">
        <v>89</v>
      </c>
      <c r="G262" s="32">
        <v>25000</v>
      </c>
      <c r="H262" s="23">
        <f t="shared" si="4"/>
        <v>8750</v>
      </c>
      <c r="I262" s="28" t="s">
        <v>9</v>
      </c>
      <c r="J262" s="13" t="s">
        <v>15</v>
      </c>
      <c r="K262" s="28" t="s">
        <v>390</v>
      </c>
    </row>
    <row r="263" spans="1:11" ht="30.75" customHeight="1" x14ac:dyDescent="0.25">
      <c r="A263" s="22" t="s">
        <v>44</v>
      </c>
      <c r="B263" s="28">
        <v>47562018</v>
      </c>
      <c r="C263" s="28">
        <v>47562061</v>
      </c>
      <c r="D263" s="26">
        <v>45974</v>
      </c>
      <c r="E263" s="29">
        <v>52242478</v>
      </c>
      <c r="F263" s="28" t="s">
        <v>90</v>
      </c>
      <c r="G263" s="32">
        <v>91400</v>
      </c>
      <c r="H263" s="23">
        <f t="shared" si="4"/>
        <v>31989.999999999996</v>
      </c>
      <c r="I263" s="28" t="s">
        <v>11</v>
      </c>
      <c r="J263" s="13" t="s">
        <v>13</v>
      </c>
      <c r="K263" s="28" t="s">
        <v>391</v>
      </c>
    </row>
    <row r="264" spans="1:11" ht="30.75" customHeight="1" x14ac:dyDescent="0.25">
      <c r="A264" s="22" t="s">
        <v>44</v>
      </c>
      <c r="B264" s="28">
        <v>47562305</v>
      </c>
      <c r="C264" s="28">
        <v>47562354</v>
      </c>
      <c r="D264" s="26">
        <v>45974</v>
      </c>
      <c r="E264" s="29">
        <v>52230763</v>
      </c>
      <c r="F264" s="28" t="s">
        <v>91</v>
      </c>
      <c r="G264" s="32">
        <v>65000</v>
      </c>
      <c r="H264" s="23">
        <f t="shared" si="4"/>
        <v>22750</v>
      </c>
      <c r="I264" s="28" t="s">
        <v>11</v>
      </c>
      <c r="J264" s="13" t="s">
        <v>13</v>
      </c>
      <c r="K264" s="28" t="s">
        <v>392</v>
      </c>
    </row>
    <row r="265" spans="1:11" ht="30.75" customHeight="1" x14ac:dyDescent="0.25">
      <c r="A265" s="22" t="s">
        <v>44</v>
      </c>
      <c r="B265" s="28">
        <v>47557054</v>
      </c>
      <c r="C265" s="28">
        <v>47557078</v>
      </c>
      <c r="D265" s="26">
        <v>45974</v>
      </c>
      <c r="E265" s="29">
        <v>49731614</v>
      </c>
      <c r="F265" s="28" t="s">
        <v>40</v>
      </c>
      <c r="G265" s="32">
        <v>404000</v>
      </c>
      <c r="H265" s="23">
        <f t="shared" si="4"/>
        <v>141400</v>
      </c>
      <c r="I265" s="28" t="s">
        <v>11</v>
      </c>
      <c r="J265" s="13" t="s">
        <v>13</v>
      </c>
      <c r="K265" s="28" t="s">
        <v>393</v>
      </c>
    </row>
    <row r="266" spans="1:11" ht="30.75" customHeight="1" x14ac:dyDescent="0.25">
      <c r="A266" s="22" t="s">
        <v>44</v>
      </c>
      <c r="B266" s="28">
        <v>47562548</v>
      </c>
      <c r="C266" s="28">
        <v>47562635</v>
      </c>
      <c r="D266" s="26">
        <v>45974</v>
      </c>
      <c r="E266" s="29">
        <v>91467724</v>
      </c>
      <c r="F266" s="28" t="s">
        <v>92</v>
      </c>
      <c r="G266" s="32">
        <v>64200</v>
      </c>
      <c r="H266" s="23">
        <f t="shared" si="4"/>
        <v>22470</v>
      </c>
      <c r="I266" s="28" t="s">
        <v>11</v>
      </c>
      <c r="J266" s="13" t="s">
        <v>13</v>
      </c>
      <c r="K266" s="28" t="s">
        <v>394</v>
      </c>
    </row>
    <row r="267" spans="1:11" ht="30.75" customHeight="1" x14ac:dyDescent="0.25">
      <c r="A267" s="22" t="s">
        <v>44</v>
      </c>
      <c r="B267" s="28">
        <v>47562849</v>
      </c>
      <c r="C267" s="28">
        <v>47562901</v>
      </c>
      <c r="D267" s="26">
        <v>45974</v>
      </c>
      <c r="E267" s="29">
        <v>10303067</v>
      </c>
      <c r="F267" s="28" t="s">
        <v>93</v>
      </c>
      <c r="G267" s="32">
        <v>248400</v>
      </c>
      <c r="H267" s="23">
        <f t="shared" si="4"/>
        <v>86940</v>
      </c>
      <c r="I267" s="28" t="s">
        <v>11</v>
      </c>
      <c r="J267" s="13" t="s">
        <v>13</v>
      </c>
      <c r="K267" s="28" t="s">
        <v>395</v>
      </c>
    </row>
    <row r="268" spans="1:11" ht="30.75" customHeight="1" x14ac:dyDescent="0.25">
      <c r="A268" s="22" t="s">
        <v>44</v>
      </c>
      <c r="B268" s="28">
        <v>47564385</v>
      </c>
      <c r="C268" s="28">
        <v>47564397</v>
      </c>
      <c r="D268" s="26">
        <v>45972</v>
      </c>
      <c r="E268" s="29">
        <v>85260647</v>
      </c>
      <c r="F268" s="28" t="s">
        <v>30</v>
      </c>
      <c r="G268" s="32">
        <v>25000</v>
      </c>
      <c r="H268" s="23">
        <f t="shared" si="4"/>
        <v>8750</v>
      </c>
      <c r="I268" s="28" t="s">
        <v>9</v>
      </c>
      <c r="J268" s="13" t="s">
        <v>15</v>
      </c>
      <c r="K268" s="28" t="s">
        <v>396</v>
      </c>
    </row>
    <row r="269" spans="1:11" ht="30.75" customHeight="1" x14ac:dyDescent="0.25">
      <c r="A269" s="22" t="s">
        <v>44</v>
      </c>
      <c r="B269" s="28">
        <v>47564080</v>
      </c>
      <c r="C269" s="28">
        <v>47564096</v>
      </c>
      <c r="D269" s="26">
        <v>45972</v>
      </c>
      <c r="E269" s="29">
        <v>85260647</v>
      </c>
      <c r="F269" s="28" t="s">
        <v>30</v>
      </c>
      <c r="G269" s="32">
        <v>25000</v>
      </c>
      <c r="H269" s="23">
        <f t="shared" si="4"/>
        <v>8750</v>
      </c>
      <c r="I269" s="28" t="s">
        <v>9</v>
      </c>
      <c r="J269" s="13" t="s">
        <v>15</v>
      </c>
      <c r="K269" s="28" t="s">
        <v>397</v>
      </c>
    </row>
    <row r="270" spans="1:11" ht="30.75" customHeight="1" x14ac:dyDescent="0.25">
      <c r="A270" s="22" t="s">
        <v>44</v>
      </c>
      <c r="B270" s="28">
        <v>47561564</v>
      </c>
      <c r="C270" s="28">
        <v>47561566</v>
      </c>
      <c r="D270" s="26">
        <v>45974</v>
      </c>
      <c r="E270" s="29">
        <v>85260647</v>
      </c>
      <c r="F270" s="28" t="s">
        <v>30</v>
      </c>
      <c r="G270" s="32">
        <v>25000</v>
      </c>
      <c r="H270" s="23">
        <f t="shared" si="4"/>
        <v>8750</v>
      </c>
      <c r="I270" s="28" t="s">
        <v>9</v>
      </c>
      <c r="J270" s="13" t="s">
        <v>15</v>
      </c>
      <c r="K270" s="28" t="s">
        <v>398</v>
      </c>
    </row>
    <row r="271" spans="1:11" ht="30.75" customHeight="1" x14ac:dyDescent="0.25">
      <c r="A271" s="22" t="s">
        <v>44</v>
      </c>
      <c r="B271" s="28">
        <v>47561568</v>
      </c>
      <c r="C271" s="28">
        <v>47561570</v>
      </c>
      <c r="D271" s="26">
        <v>45974</v>
      </c>
      <c r="E271" s="29">
        <v>85260647</v>
      </c>
      <c r="F271" s="28" t="s">
        <v>30</v>
      </c>
      <c r="G271" s="32">
        <v>25000</v>
      </c>
      <c r="H271" s="23">
        <f t="shared" si="4"/>
        <v>8750</v>
      </c>
      <c r="I271" s="28" t="s">
        <v>9</v>
      </c>
      <c r="J271" s="13" t="s">
        <v>15</v>
      </c>
      <c r="K271" s="28" t="s">
        <v>399</v>
      </c>
    </row>
    <row r="272" spans="1:11" ht="30.75" customHeight="1" x14ac:dyDescent="0.25">
      <c r="A272" s="22" t="s">
        <v>44</v>
      </c>
      <c r="B272" s="28">
        <v>47577808</v>
      </c>
      <c r="C272" s="28">
        <v>47577811</v>
      </c>
      <c r="D272" s="26">
        <v>45980</v>
      </c>
      <c r="E272" s="29">
        <v>85260647</v>
      </c>
      <c r="F272" s="28" t="s">
        <v>30</v>
      </c>
      <c r="G272" s="32">
        <v>25000</v>
      </c>
      <c r="H272" s="23">
        <f t="shared" si="4"/>
        <v>8750</v>
      </c>
      <c r="I272" s="28" t="s">
        <v>9</v>
      </c>
      <c r="J272" s="13" t="s">
        <v>15</v>
      </c>
      <c r="K272" s="28" t="s">
        <v>400</v>
      </c>
    </row>
    <row r="273" spans="1:11" ht="30.75" customHeight="1" x14ac:dyDescent="0.25">
      <c r="A273" s="22" t="s">
        <v>44</v>
      </c>
      <c r="B273" s="28">
        <v>47577837</v>
      </c>
      <c r="C273" s="28">
        <v>47577844</v>
      </c>
      <c r="D273" s="26">
        <v>45980</v>
      </c>
      <c r="E273" s="29">
        <v>85260647</v>
      </c>
      <c r="F273" s="28" t="s">
        <v>30</v>
      </c>
      <c r="G273" s="32">
        <v>25000</v>
      </c>
      <c r="H273" s="23">
        <f t="shared" si="4"/>
        <v>8750</v>
      </c>
      <c r="I273" s="28" t="s">
        <v>9</v>
      </c>
      <c r="J273" s="13" t="s">
        <v>15</v>
      </c>
      <c r="K273" s="28" t="s">
        <v>401</v>
      </c>
    </row>
    <row r="274" spans="1:11" ht="30.75" customHeight="1" x14ac:dyDescent="0.25">
      <c r="A274" s="22" t="s">
        <v>44</v>
      </c>
      <c r="B274" s="28">
        <v>47561571</v>
      </c>
      <c r="C274" s="28">
        <v>47561573</v>
      </c>
      <c r="D274" s="26">
        <v>45974</v>
      </c>
      <c r="E274" s="29">
        <v>85260647</v>
      </c>
      <c r="F274" s="28" t="s">
        <v>30</v>
      </c>
      <c r="G274" s="32">
        <v>25000</v>
      </c>
      <c r="H274" s="23">
        <f t="shared" si="4"/>
        <v>8750</v>
      </c>
      <c r="I274" s="28" t="s">
        <v>9</v>
      </c>
      <c r="J274" s="13" t="s">
        <v>15</v>
      </c>
      <c r="K274" s="28" t="s">
        <v>402</v>
      </c>
    </row>
    <row r="275" spans="1:11" ht="30.75" customHeight="1" x14ac:dyDescent="0.25">
      <c r="A275" s="22" t="s">
        <v>44</v>
      </c>
      <c r="B275" s="28">
        <v>47561574</v>
      </c>
      <c r="C275" s="28">
        <v>47561576</v>
      </c>
      <c r="D275" s="26">
        <v>45974</v>
      </c>
      <c r="E275" s="29">
        <v>85260647</v>
      </c>
      <c r="F275" s="28" t="s">
        <v>30</v>
      </c>
      <c r="G275" s="32">
        <v>25000</v>
      </c>
      <c r="H275" s="23">
        <f t="shared" si="4"/>
        <v>8750</v>
      </c>
      <c r="I275" s="28" t="s">
        <v>9</v>
      </c>
      <c r="J275" s="13" t="s">
        <v>15</v>
      </c>
      <c r="K275" s="28" t="s">
        <v>403</v>
      </c>
    </row>
    <row r="276" spans="1:11" ht="30.75" customHeight="1" x14ac:dyDescent="0.25">
      <c r="A276" s="22" t="s">
        <v>44</v>
      </c>
      <c r="B276" s="28">
        <v>47564245</v>
      </c>
      <c r="C276" s="28">
        <v>47564255</v>
      </c>
      <c r="D276" s="26">
        <v>45974</v>
      </c>
      <c r="E276" s="29">
        <v>4150883</v>
      </c>
      <c r="F276" s="28" t="s">
        <v>35</v>
      </c>
      <c r="G276" s="32">
        <v>170000</v>
      </c>
      <c r="H276" s="23">
        <f t="shared" si="4"/>
        <v>59499.999999999993</v>
      </c>
      <c r="I276" s="28" t="s">
        <v>10</v>
      </c>
      <c r="J276" s="13" t="s">
        <v>26</v>
      </c>
      <c r="K276" s="28" t="s">
        <v>404</v>
      </c>
    </row>
    <row r="277" spans="1:11" ht="30.75" customHeight="1" x14ac:dyDescent="0.25">
      <c r="A277" s="22" t="s">
        <v>44</v>
      </c>
      <c r="B277" s="28">
        <v>47564271</v>
      </c>
      <c r="C277" s="28">
        <v>47564289</v>
      </c>
      <c r="D277" s="26">
        <v>45974</v>
      </c>
      <c r="E277" s="29">
        <v>4150883</v>
      </c>
      <c r="F277" s="28" t="s">
        <v>35</v>
      </c>
      <c r="G277" s="32">
        <v>170000</v>
      </c>
      <c r="H277" s="23">
        <f t="shared" si="4"/>
        <v>59499.999999999993</v>
      </c>
      <c r="I277" s="28" t="s">
        <v>10</v>
      </c>
      <c r="J277" s="13" t="s">
        <v>26</v>
      </c>
      <c r="K277" s="28" t="s">
        <v>405</v>
      </c>
    </row>
    <row r="278" spans="1:11" ht="30.75" customHeight="1" x14ac:dyDescent="0.25">
      <c r="A278" s="22" t="s">
        <v>44</v>
      </c>
      <c r="B278" s="28">
        <v>47571912</v>
      </c>
      <c r="C278" s="28">
        <v>47571938</v>
      </c>
      <c r="D278" s="26">
        <v>45974</v>
      </c>
      <c r="E278" s="29">
        <v>85462465</v>
      </c>
      <c r="F278" s="28" t="s">
        <v>94</v>
      </c>
      <c r="G278" s="32">
        <v>1590000</v>
      </c>
      <c r="H278" s="23">
        <f t="shared" si="4"/>
        <v>556500</v>
      </c>
      <c r="I278" s="28" t="s">
        <v>11</v>
      </c>
      <c r="J278" s="13" t="s">
        <v>13</v>
      </c>
      <c r="K278" s="28" t="s">
        <v>406</v>
      </c>
    </row>
    <row r="279" spans="1:11" ht="30.75" customHeight="1" x14ac:dyDescent="0.25">
      <c r="A279" s="22" t="s">
        <v>44</v>
      </c>
      <c r="B279" s="28">
        <v>47572621</v>
      </c>
      <c r="C279" s="28">
        <v>47572668</v>
      </c>
      <c r="D279" s="26">
        <v>45975</v>
      </c>
      <c r="E279" s="29">
        <v>76317199</v>
      </c>
      <c r="F279" s="28" t="s">
        <v>56</v>
      </c>
      <c r="G279" s="32">
        <v>159800</v>
      </c>
      <c r="H279" s="23">
        <f t="shared" si="4"/>
        <v>55930</v>
      </c>
      <c r="I279" s="28" t="s">
        <v>11</v>
      </c>
      <c r="J279" s="13" t="s">
        <v>13</v>
      </c>
      <c r="K279" s="28" t="s">
        <v>407</v>
      </c>
    </row>
    <row r="280" spans="1:11" ht="30.75" customHeight="1" x14ac:dyDescent="0.25">
      <c r="A280" s="22" t="s">
        <v>44</v>
      </c>
      <c r="B280" s="28">
        <v>47407639</v>
      </c>
      <c r="C280" s="28">
        <v>47407647</v>
      </c>
      <c r="D280" s="26">
        <v>45975</v>
      </c>
      <c r="E280" s="29">
        <v>88225757</v>
      </c>
      <c r="F280" s="28" t="s">
        <v>46</v>
      </c>
      <c r="G280" s="32">
        <v>65000</v>
      </c>
      <c r="H280" s="23">
        <f t="shared" si="4"/>
        <v>22750</v>
      </c>
      <c r="I280" s="28" t="s">
        <v>10</v>
      </c>
      <c r="J280" s="13" t="s">
        <v>26</v>
      </c>
      <c r="K280" s="28" t="s">
        <v>408</v>
      </c>
    </row>
    <row r="281" spans="1:11" ht="30.75" customHeight="1" x14ac:dyDescent="0.25">
      <c r="A281" s="22" t="s">
        <v>44</v>
      </c>
      <c r="B281" s="28">
        <v>47407642</v>
      </c>
      <c r="C281" s="28">
        <v>47407658</v>
      </c>
      <c r="D281" s="26">
        <v>45975</v>
      </c>
      <c r="E281" s="29">
        <v>88225757</v>
      </c>
      <c r="F281" s="28" t="s">
        <v>46</v>
      </c>
      <c r="G281" s="32">
        <v>65000</v>
      </c>
      <c r="H281" s="23">
        <f t="shared" si="4"/>
        <v>22750</v>
      </c>
      <c r="I281" s="28" t="s">
        <v>10</v>
      </c>
      <c r="J281" s="13" t="s">
        <v>26</v>
      </c>
      <c r="K281" s="28" t="s">
        <v>409</v>
      </c>
    </row>
    <row r="282" spans="1:11" ht="30.75" customHeight="1" x14ac:dyDescent="0.25">
      <c r="A282" s="22" t="s">
        <v>44</v>
      </c>
      <c r="B282" s="28">
        <v>47578358</v>
      </c>
      <c r="C282" s="28">
        <v>47578377</v>
      </c>
      <c r="D282" s="26">
        <v>45975</v>
      </c>
      <c r="E282" s="29">
        <v>10877018</v>
      </c>
      <c r="F282" s="28" t="s">
        <v>95</v>
      </c>
      <c r="G282" s="32">
        <v>40000</v>
      </c>
      <c r="H282" s="23">
        <f t="shared" si="4"/>
        <v>14000</v>
      </c>
      <c r="I282" s="28" t="s">
        <v>9</v>
      </c>
      <c r="J282" s="13" t="s">
        <v>15</v>
      </c>
      <c r="K282" s="28" t="s">
        <v>410</v>
      </c>
    </row>
    <row r="283" spans="1:11" ht="30.75" customHeight="1" x14ac:dyDescent="0.25">
      <c r="A283" s="22" t="s">
        <v>44</v>
      </c>
      <c r="B283" s="28">
        <v>47578406</v>
      </c>
      <c r="C283" s="28">
        <v>47578421</v>
      </c>
      <c r="D283" s="26">
        <v>45975</v>
      </c>
      <c r="E283" s="29">
        <v>10877018</v>
      </c>
      <c r="F283" s="28" t="s">
        <v>95</v>
      </c>
      <c r="G283" s="32">
        <v>40000</v>
      </c>
      <c r="H283" s="23">
        <f t="shared" si="4"/>
        <v>14000</v>
      </c>
      <c r="I283" s="28" t="s">
        <v>9</v>
      </c>
      <c r="J283" s="13" t="s">
        <v>15</v>
      </c>
      <c r="K283" s="28" t="s">
        <v>411</v>
      </c>
    </row>
    <row r="284" spans="1:11" ht="30.75" customHeight="1" x14ac:dyDescent="0.25">
      <c r="A284" s="22" t="s">
        <v>44</v>
      </c>
      <c r="B284" s="28">
        <v>47579112</v>
      </c>
      <c r="C284" s="28">
        <v>47579135</v>
      </c>
      <c r="D284" s="26">
        <v>45975</v>
      </c>
      <c r="E284" s="29">
        <v>1066740955</v>
      </c>
      <c r="F284" s="28" t="s">
        <v>96</v>
      </c>
      <c r="G284" s="32">
        <v>25000</v>
      </c>
      <c r="H284" s="23">
        <f t="shared" si="4"/>
        <v>8750</v>
      </c>
      <c r="I284" s="28" t="s">
        <v>9</v>
      </c>
      <c r="J284" s="13" t="s">
        <v>15</v>
      </c>
      <c r="K284" s="28" t="s">
        <v>412</v>
      </c>
    </row>
    <row r="285" spans="1:11" ht="30.75" customHeight="1" x14ac:dyDescent="0.25">
      <c r="A285" s="22" t="s">
        <v>44</v>
      </c>
      <c r="B285" s="28">
        <v>47579108</v>
      </c>
      <c r="C285" s="28">
        <v>47579157</v>
      </c>
      <c r="D285" s="26">
        <v>45975</v>
      </c>
      <c r="E285" s="29">
        <v>1066740955</v>
      </c>
      <c r="F285" s="28" t="s">
        <v>96</v>
      </c>
      <c r="G285" s="32">
        <v>25000</v>
      </c>
      <c r="H285" s="23">
        <f t="shared" si="4"/>
        <v>8750</v>
      </c>
      <c r="I285" s="28" t="s">
        <v>9</v>
      </c>
      <c r="J285" s="13" t="s">
        <v>15</v>
      </c>
      <c r="K285" s="28" t="s">
        <v>413</v>
      </c>
    </row>
    <row r="286" spans="1:11" ht="30.75" customHeight="1" x14ac:dyDescent="0.25">
      <c r="A286" s="22" t="s">
        <v>44</v>
      </c>
      <c r="B286" s="28">
        <v>47571884</v>
      </c>
      <c r="C286" s="28">
        <v>47571918</v>
      </c>
      <c r="D286" s="26">
        <v>45975</v>
      </c>
      <c r="E286" s="29">
        <v>12631995</v>
      </c>
      <c r="F286" s="28" t="s">
        <v>32</v>
      </c>
      <c r="G286" s="32">
        <v>50000</v>
      </c>
      <c r="H286" s="23">
        <f t="shared" si="4"/>
        <v>17500</v>
      </c>
      <c r="I286" s="28" t="s">
        <v>10</v>
      </c>
      <c r="J286" s="13" t="s">
        <v>26</v>
      </c>
      <c r="K286" s="28" t="s">
        <v>414</v>
      </c>
    </row>
    <row r="287" spans="1:11" ht="30.75" customHeight="1" x14ac:dyDescent="0.25">
      <c r="A287" s="22" t="s">
        <v>44</v>
      </c>
      <c r="B287" s="28">
        <v>47572845</v>
      </c>
      <c r="C287" s="28">
        <v>47572895</v>
      </c>
      <c r="D287" s="26">
        <v>45975</v>
      </c>
      <c r="E287" s="29">
        <v>12631995</v>
      </c>
      <c r="F287" s="28" t="s">
        <v>32</v>
      </c>
      <c r="G287" s="32">
        <v>50000</v>
      </c>
      <c r="H287" s="23">
        <f t="shared" si="4"/>
        <v>17500</v>
      </c>
      <c r="I287" s="28" t="s">
        <v>10</v>
      </c>
      <c r="J287" s="13" t="s">
        <v>26</v>
      </c>
      <c r="K287" s="28" t="s">
        <v>415</v>
      </c>
    </row>
    <row r="288" spans="1:11" ht="30.75" customHeight="1" x14ac:dyDescent="0.25">
      <c r="A288" s="22" t="s">
        <v>44</v>
      </c>
      <c r="B288" s="28">
        <v>47586948</v>
      </c>
      <c r="C288" s="28">
        <v>47587001</v>
      </c>
      <c r="D288" s="26">
        <v>45976</v>
      </c>
      <c r="E288" s="29">
        <v>12631995</v>
      </c>
      <c r="F288" s="28" t="s">
        <v>32</v>
      </c>
      <c r="G288" s="32">
        <v>50000</v>
      </c>
      <c r="H288" s="23">
        <f t="shared" si="4"/>
        <v>17500</v>
      </c>
      <c r="I288" s="28" t="s">
        <v>10</v>
      </c>
      <c r="J288" s="13" t="s">
        <v>26</v>
      </c>
      <c r="K288" s="28" t="s">
        <v>416</v>
      </c>
    </row>
    <row r="289" spans="1:11" ht="30.75" customHeight="1" x14ac:dyDescent="0.25">
      <c r="A289" s="22" t="s">
        <v>44</v>
      </c>
      <c r="B289" s="28">
        <v>47586950</v>
      </c>
      <c r="C289" s="28">
        <v>47587011</v>
      </c>
      <c r="D289" s="26">
        <v>45976</v>
      </c>
      <c r="E289" s="29">
        <v>12631995</v>
      </c>
      <c r="F289" s="28" t="s">
        <v>32</v>
      </c>
      <c r="G289" s="32">
        <v>50000</v>
      </c>
      <c r="H289" s="23">
        <f t="shared" si="4"/>
        <v>17500</v>
      </c>
      <c r="I289" s="28" t="s">
        <v>10</v>
      </c>
      <c r="J289" s="13" t="s">
        <v>26</v>
      </c>
      <c r="K289" s="28" t="s">
        <v>417</v>
      </c>
    </row>
    <row r="290" spans="1:11" ht="30.75" customHeight="1" x14ac:dyDescent="0.25">
      <c r="A290" s="22" t="s">
        <v>44</v>
      </c>
      <c r="B290" s="28">
        <v>47571889</v>
      </c>
      <c r="C290" s="28">
        <v>47571965</v>
      </c>
      <c r="D290" s="26">
        <v>45975</v>
      </c>
      <c r="E290" s="29">
        <v>12631995</v>
      </c>
      <c r="F290" s="28" t="s">
        <v>32</v>
      </c>
      <c r="G290" s="32">
        <v>50000</v>
      </c>
      <c r="H290" s="23">
        <f t="shared" si="4"/>
        <v>17500</v>
      </c>
      <c r="I290" s="28" t="s">
        <v>10</v>
      </c>
      <c r="J290" s="13" t="s">
        <v>26</v>
      </c>
      <c r="K290" s="28" t="s">
        <v>418</v>
      </c>
    </row>
    <row r="291" spans="1:11" ht="30.75" customHeight="1" x14ac:dyDescent="0.25">
      <c r="A291" s="22" t="s">
        <v>44</v>
      </c>
      <c r="B291" s="28">
        <v>47572847</v>
      </c>
      <c r="C291" s="28">
        <v>47572907</v>
      </c>
      <c r="D291" s="26">
        <v>45975</v>
      </c>
      <c r="E291" s="29">
        <v>12631995</v>
      </c>
      <c r="F291" s="28" t="s">
        <v>32</v>
      </c>
      <c r="G291" s="32">
        <v>50000</v>
      </c>
      <c r="H291" s="23">
        <f t="shared" si="4"/>
        <v>17500</v>
      </c>
      <c r="I291" s="28" t="s">
        <v>10</v>
      </c>
      <c r="J291" s="13" t="s">
        <v>26</v>
      </c>
      <c r="K291" s="28" t="s">
        <v>419</v>
      </c>
    </row>
    <row r="292" spans="1:11" ht="30.75" customHeight="1" x14ac:dyDescent="0.25">
      <c r="A292" s="22" t="s">
        <v>44</v>
      </c>
      <c r="B292" s="28">
        <v>47571890</v>
      </c>
      <c r="C292" s="28">
        <v>47571963</v>
      </c>
      <c r="D292" s="26">
        <v>45975</v>
      </c>
      <c r="E292" s="29">
        <v>12631995</v>
      </c>
      <c r="F292" s="28" t="s">
        <v>32</v>
      </c>
      <c r="G292" s="32">
        <v>50000</v>
      </c>
      <c r="H292" s="23">
        <f t="shared" si="4"/>
        <v>17500</v>
      </c>
      <c r="I292" s="28" t="s">
        <v>10</v>
      </c>
      <c r="J292" s="13" t="s">
        <v>26</v>
      </c>
      <c r="K292" s="28" t="s">
        <v>420</v>
      </c>
    </row>
    <row r="293" spans="1:11" ht="30.75" customHeight="1" x14ac:dyDescent="0.25">
      <c r="A293" s="22" t="s">
        <v>44</v>
      </c>
      <c r="B293" s="28">
        <v>47572849</v>
      </c>
      <c r="C293" s="28">
        <v>47572919</v>
      </c>
      <c r="D293" s="26">
        <v>45975</v>
      </c>
      <c r="E293" s="29">
        <v>12631995</v>
      </c>
      <c r="F293" s="28" t="s">
        <v>32</v>
      </c>
      <c r="G293" s="32">
        <v>50000</v>
      </c>
      <c r="H293" s="23">
        <f t="shared" si="4"/>
        <v>17500</v>
      </c>
      <c r="I293" s="28" t="s">
        <v>10</v>
      </c>
      <c r="J293" s="13" t="s">
        <v>26</v>
      </c>
      <c r="K293" s="28" t="s">
        <v>421</v>
      </c>
    </row>
    <row r="294" spans="1:11" ht="30.75" customHeight="1" x14ac:dyDescent="0.25">
      <c r="A294" s="22" t="s">
        <v>44</v>
      </c>
      <c r="B294" s="28">
        <v>47571892</v>
      </c>
      <c r="C294" s="28">
        <v>47571973</v>
      </c>
      <c r="D294" s="26">
        <v>45975</v>
      </c>
      <c r="E294" s="29">
        <v>12631995</v>
      </c>
      <c r="F294" s="28" t="s">
        <v>32</v>
      </c>
      <c r="G294" s="32">
        <v>50000</v>
      </c>
      <c r="H294" s="23">
        <f t="shared" si="4"/>
        <v>17500</v>
      </c>
      <c r="I294" s="28" t="s">
        <v>10</v>
      </c>
      <c r="J294" s="13" t="s">
        <v>26</v>
      </c>
      <c r="K294" s="28" t="s">
        <v>422</v>
      </c>
    </row>
    <row r="295" spans="1:11" ht="30.75" customHeight="1" x14ac:dyDescent="0.25">
      <c r="A295" s="22" t="s">
        <v>44</v>
      </c>
      <c r="B295" s="28">
        <v>47572853</v>
      </c>
      <c r="C295" s="28">
        <v>47572925</v>
      </c>
      <c r="D295" s="26">
        <v>45975</v>
      </c>
      <c r="E295" s="29">
        <v>12631995</v>
      </c>
      <c r="F295" s="28" t="s">
        <v>32</v>
      </c>
      <c r="G295" s="32">
        <v>50000</v>
      </c>
      <c r="H295" s="23">
        <f t="shared" si="4"/>
        <v>17500</v>
      </c>
      <c r="I295" s="28" t="s">
        <v>10</v>
      </c>
      <c r="J295" s="13" t="s">
        <v>26</v>
      </c>
      <c r="K295" s="28" t="s">
        <v>423</v>
      </c>
    </row>
    <row r="296" spans="1:11" ht="30.75" customHeight="1" x14ac:dyDescent="0.25">
      <c r="A296" s="22" t="s">
        <v>44</v>
      </c>
      <c r="B296" s="28">
        <v>47571893</v>
      </c>
      <c r="C296" s="28">
        <v>47571980</v>
      </c>
      <c r="D296" s="26">
        <v>45975</v>
      </c>
      <c r="E296" s="29">
        <v>12631995</v>
      </c>
      <c r="F296" s="28" t="s">
        <v>32</v>
      </c>
      <c r="G296" s="32">
        <v>50000</v>
      </c>
      <c r="H296" s="23">
        <f t="shared" si="4"/>
        <v>17500</v>
      </c>
      <c r="I296" s="28" t="s">
        <v>10</v>
      </c>
      <c r="J296" s="13" t="s">
        <v>26</v>
      </c>
      <c r="K296" s="28" t="s">
        <v>424</v>
      </c>
    </row>
    <row r="297" spans="1:11" ht="30.75" customHeight="1" x14ac:dyDescent="0.25">
      <c r="A297" s="22" t="s">
        <v>44</v>
      </c>
      <c r="B297" s="28">
        <v>47572857</v>
      </c>
      <c r="C297" s="28">
        <v>47572932</v>
      </c>
      <c r="D297" s="26">
        <v>45975</v>
      </c>
      <c r="E297" s="29">
        <v>12631995</v>
      </c>
      <c r="F297" s="28" t="s">
        <v>32</v>
      </c>
      <c r="G297" s="32">
        <v>50000</v>
      </c>
      <c r="H297" s="23">
        <f t="shared" si="4"/>
        <v>17500</v>
      </c>
      <c r="I297" s="28" t="s">
        <v>10</v>
      </c>
      <c r="J297" s="13" t="s">
        <v>26</v>
      </c>
      <c r="K297" s="28" t="s">
        <v>425</v>
      </c>
    </row>
    <row r="298" spans="1:11" ht="30.75" customHeight="1" x14ac:dyDescent="0.25">
      <c r="A298" s="22" t="s">
        <v>44</v>
      </c>
      <c r="B298" s="28">
        <v>47572369</v>
      </c>
      <c r="C298" s="28">
        <v>47572424</v>
      </c>
      <c r="D298" s="26">
        <v>45975</v>
      </c>
      <c r="E298" s="29">
        <v>12631995</v>
      </c>
      <c r="F298" s="28" t="s">
        <v>32</v>
      </c>
      <c r="G298" s="32">
        <v>50000</v>
      </c>
      <c r="H298" s="23">
        <f t="shared" si="4"/>
        <v>17500</v>
      </c>
      <c r="I298" s="28" t="s">
        <v>10</v>
      </c>
      <c r="J298" s="13" t="s">
        <v>26</v>
      </c>
      <c r="K298" s="28" t="s">
        <v>426</v>
      </c>
    </row>
    <row r="299" spans="1:11" ht="30.75" customHeight="1" x14ac:dyDescent="0.25">
      <c r="A299" s="22" t="s">
        <v>44</v>
      </c>
      <c r="B299" s="28">
        <v>47573213</v>
      </c>
      <c r="C299" s="28">
        <v>47573280</v>
      </c>
      <c r="D299" s="26">
        <v>45975</v>
      </c>
      <c r="E299" s="29">
        <v>12631995</v>
      </c>
      <c r="F299" s="28" t="s">
        <v>32</v>
      </c>
      <c r="G299" s="32">
        <v>50000</v>
      </c>
      <c r="H299" s="23">
        <f t="shared" si="4"/>
        <v>17500</v>
      </c>
      <c r="I299" s="28" t="s">
        <v>10</v>
      </c>
      <c r="J299" s="13" t="s">
        <v>26</v>
      </c>
      <c r="K299" s="28" t="s">
        <v>427</v>
      </c>
    </row>
    <row r="300" spans="1:11" ht="30.75" customHeight="1" x14ac:dyDescent="0.25">
      <c r="A300" s="22" t="s">
        <v>44</v>
      </c>
      <c r="B300" s="28">
        <v>47572396</v>
      </c>
      <c r="C300" s="28">
        <v>47572429</v>
      </c>
      <c r="D300" s="26">
        <v>45975</v>
      </c>
      <c r="E300" s="29">
        <v>12631995</v>
      </c>
      <c r="F300" s="28" t="s">
        <v>32</v>
      </c>
      <c r="G300" s="32">
        <v>50000</v>
      </c>
      <c r="H300" s="23">
        <f t="shared" si="4"/>
        <v>17500</v>
      </c>
      <c r="I300" s="28" t="s">
        <v>10</v>
      </c>
      <c r="J300" s="13" t="s">
        <v>26</v>
      </c>
      <c r="K300" s="28" t="s">
        <v>428</v>
      </c>
    </row>
    <row r="301" spans="1:11" ht="30.75" customHeight="1" x14ac:dyDescent="0.25">
      <c r="A301" s="22" t="s">
        <v>44</v>
      </c>
      <c r="B301" s="28">
        <v>47573214</v>
      </c>
      <c r="C301" s="28">
        <v>47573294</v>
      </c>
      <c r="D301" s="26">
        <v>45975</v>
      </c>
      <c r="E301" s="29">
        <v>12631995</v>
      </c>
      <c r="F301" s="28" t="s">
        <v>32</v>
      </c>
      <c r="G301" s="32">
        <v>50000</v>
      </c>
      <c r="H301" s="23">
        <f t="shared" si="4"/>
        <v>17500</v>
      </c>
      <c r="I301" s="28" t="s">
        <v>10</v>
      </c>
      <c r="J301" s="13" t="s">
        <v>26</v>
      </c>
      <c r="K301" s="28" t="s">
        <v>429</v>
      </c>
    </row>
    <row r="302" spans="1:11" ht="30.75" customHeight="1" x14ac:dyDescent="0.25">
      <c r="A302" s="22" t="s">
        <v>44</v>
      </c>
      <c r="B302" s="28">
        <v>47572372</v>
      </c>
      <c r="C302" s="28">
        <v>47572447</v>
      </c>
      <c r="D302" s="26">
        <v>45975</v>
      </c>
      <c r="E302" s="29">
        <v>12631995</v>
      </c>
      <c r="F302" s="28" t="s">
        <v>32</v>
      </c>
      <c r="G302" s="32">
        <v>50000</v>
      </c>
      <c r="H302" s="23">
        <f t="shared" si="4"/>
        <v>17500</v>
      </c>
      <c r="I302" s="28" t="s">
        <v>10</v>
      </c>
      <c r="J302" s="13" t="s">
        <v>26</v>
      </c>
      <c r="K302" s="28" t="s">
        <v>430</v>
      </c>
    </row>
    <row r="303" spans="1:11" ht="30.75" customHeight="1" x14ac:dyDescent="0.25">
      <c r="A303" s="22" t="s">
        <v>44</v>
      </c>
      <c r="B303" s="28">
        <v>47573215</v>
      </c>
      <c r="C303" s="28">
        <v>47573300</v>
      </c>
      <c r="D303" s="26">
        <v>45975</v>
      </c>
      <c r="E303" s="29">
        <v>12631995</v>
      </c>
      <c r="F303" s="28" t="s">
        <v>32</v>
      </c>
      <c r="G303" s="32">
        <v>50000</v>
      </c>
      <c r="H303" s="23">
        <f t="shared" si="4"/>
        <v>17500</v>
      </c>
      <c r="I303" s="28" t="s">
        <v>10</v>
      </c>
      <c r="J303" s="13" t="s">
        <v>26</v>
      </c>
      <c r="K303" s="28" t="s">
        <v>431</v>
      </c>
    </row>
    <row r="304" spans="1:11" ht="30.75" customHeight="1" x14ac:dyDescent="0.25">
      <c r="A304" s="22" t="s">
        <v>44</v>
      </c>
      <c r="B304" s="28">
        <v>47572375</v>
      </c>
      <c r="C304" s="28">
        <v>47572471</v>
      </c>
      <c r="D304" s="26">
        <v>45975</v>
      </c>
      <c r="E304" s="29">
        <v>12631995</v>
      </c>
      <c r="F304" s="28" t="s">
        <v>32</v>
      </c>
      <c r="G304" s="32">
        <v>50000</v>
      </c>
      <c r="H304" s="23">
        <f t="shared" si="4"/>
        <v>17500</v>
      </c>
      <c r="I304" s="28" t="s">
        <v>10</v>
      </c>
      <c r="J304" s="13" t="s">
        <v>26</v>
      </c>
      <c r="K304" s="28" t="s">
        <v>432</v>
      </c>
    </row>
    <row r="305" spans="1:11" ht="30.75" customHeight="1" x14ac:dyDescent="0.25">
      <c r="A305" s="22" t="s">
        <v>44</v>
      </c>
      <c r="B305" s="28">
        <v>47573216</v>
      </c>
      <c r="C305" s="28">
        <v>47573308</v>
      </c>
      <c r="D305" s="26">
        <v>45975</v>
      </c>
      <c r="E305" s="29">
        <v>12631995</v>
      </c>
      <c r="F305" s="28" t="s">
        <v>32</v>
      </c>
      <c r="G305" s="32">
        <v>50000</v>
      </c>
      <c r="H305" s="23">
        <f t="shared" si="4"/>
        <v>17500</v>
      </c>
      <c r="I305" s="28" t="s">
        <v>10</v>
      </c>
      <c r="J305" s="13" t="s">
        <v>26</v>
      </c>
      <c r="K305" s="28" t="s">
        <v>433</v>
      </c>
    </row>
    <row r="306" spans="1:11" ht="30.75" customHeight="1" x14ac:dyDescent="0.25">
      <c r="A306" s="22" t="s">
        <v>44</v>
      </c>
      <c r="B306" s="28">
        <v>47572379</v>
      </c>
      <c r="C306" s="28">
        <v>47572482</v>
      </c>
      <c r="D306" s="26">
        <v>45975</v>
      </c>
      <c r="E306" s="29">
        <v>12631995</v>
      </c>
      <c r="F306" s="28" t="s">
        <v>32</v>
      </c>
      <c r="G306" s="32">
        <v>50000</v>
      </c>
      <c r="H306" s="23">
        <f t="shared" si="4"/>
        <v>17500</v>
      </c>
      <c r="I306" s="28" t="s">
        <v>10</v>
      </c>
      <c r="J306" s="13" t="s">
        <v>26</v>
      </c>
      <c r="K306" s="28" t="s">
        <v>434</v>
      </c>
    </row>
    <row r="307" spans="1:11" ht="30.75" customHeight="1" x14ac:dyDescent="0.25">
      <c r="A307" s="22" t="s">
        <v>44</v>
      </c>
      <c r="B307" s="28">
        <v>47573217</v>
      </c>
      <c r="C307" s="28">
        <v>47573322</v>
      </c>
      <c r="D307" s="26">
        <v>45975</v>
      </c>
      <c r="E307" s="29">
        <v>12631995</v>
      </c>
      <c r="F307" s="28" t="s">
        <v>32</v>
      </c>
      <c r="G307" s="32">
        <v>50000</v>
      </c>
      <c r="H307" s="23">
        <f t="shared" si="4"/>
        <v>17500</v>
      </c>
      <c r="I307" s="28" t="s">
        <v>10</v>
      </c>
      <c r="J307" s="13" t="s">
        <v>26</v>
      </c>
      <c r="K307" s="28" t="s">
        <v>435</v>
      </c>
    </row>
    <row r="308" spans="1:11" ht="30.75" customHeight="1" x14ac:dyDescent="0.25">
      <c r="A308" s="22" t="s">
        <v>44</v>
      </c>
      <c r="B308" s="28">
        <v>47576594</v>
      </c>
      <c r="C308" s="28">
        <v>47576599</v>
      </c>
      <c r="D308" s="26">
        <v>45975</v>
      </c>
      <c r="E308" s="29">
        <v>73228451</v>
      </c>
      <c r="F308" s="28" t="s">
        <v>79</v>
      </c>
      <c r="G308" s="32">
        <v>25000</v>
      </c>
      <c r="H308" s="23">
        <f t="shared" si="4"/>
        <v>8750</v>
      </c>
      <c r="I308" s="28" t="s">
        <v>9</v>
      </c>
      <c r="J308" s="13" t="s">
        <v>15</v>
      </c>
      <c r="K308" s="28" t="s">
        <v>436</v>
      </c>
    </row>
    <row r="309" spans="1:11" ht="30.75" customHeight="1" x14ac:dyDescent="0.25">
      <c r="A309" s="22" t="s">
        <v>44</v>
      </c>
      <c r="B309" s="28">
        <v>47576607</v>
      </c>
      <c r="C309" s="28">
        <v>47576611</v>
      </c>
      <c r="D309" s="26">
        <v>45975</v>
      </c>
      <c r="E309" s="29">
        <v>73228451</v>
      </c>
      <c r="F309" s="28" t="s">
        <v>79</v>
      </c>
      <c r="G309" s="32">
        <v>25000</v>
      </c>
      <c r="H309" s="23">
        <f t="shared" si="4"/>
        <v>8750</v>
      </c>
      <c r="I309" s="28" t="s">
        <v>9</v>
      </c>
      <c r="J309" s="13" t="s">
        <v>15</v>
      </c>
      <c r="K309" s="28" t="s">
        <v>437</v>
      </c>
    </row>
    <row r="310" spans="1:11" ht="30.75" customHeight="1" x14ac:dyDescent="0.25">
      <c r="A310" s="22" t="s">
        <v>44</v>
      </c>
      <c r="B310" s="28">
        <v>47586718</v>
      </c>
      <c r="C310" s="28">
        <v>47586868</v>
      </c>
      <c r="D310" s="26">
        <v>45976</v>
      </c>
      <c r="E310" s="29">
        <v>85458421</v>
      </c>
      <c r="F310" s="28" t="s">
        <v>25</v>
      </c>
      <c r="G310" s="32">
        <v>25000</v>
      </c>
      <c r="H310" s="23">
        <f t="shared" si="4"/>
        <v>8750</v>
      </c>
      <c r="I310" s="28" t="s">
        <v>9</v>
      </c>
      <c r="J310" s="13" t="s">
        <v>15</v>
      </c>
      <c r="K310" s="28" t="s">
        <v>438</v>
      </c>
    </row>
    <row r="311" spans="1:11" ht="30.75" customHeight="1" x14ac:dyDescent="0.25">
      <c r="A311" s="22" t="s">
        <v>44</v>
      </c>
      <c r="B311" s="28">
        <v>47586935</v>
      </c>
      <c r="C311" s="28">
        <v>47586953</v>
      </c>
      <c r="D311" s="26">
        <v>45976</v>
      </c>
      <c r="E311" s="29">
        <v>85458421</v>
      </c>
      <c r="F311" s="28" t="s">
        <v>25</v>
      </c>
      <c r="G311" s="32">
        <v>25000</v>
      </c>
      <c r="H311" s="23">
        <f t="shared" si="4"/>
        <v>8750</v>
      </c>
      <c r="I311" s="28" t="s">
        <v>9</v>
      </c>
      <c r="J311" s="13" t="s">
        <v>15</v>
      </c>
      <c r="K311" s="28" t="s">
        <v>439</v>
      </c>
    </row>
    <row r="312" spans="1:11" ht="30.75" customHeight="1" x14ac:dyDescent="0.25">
      <c r="A312" s="22" t="s">
        <v>44</v>
      </c>
      <c r="B312" s="28">
        <v>47547486</v>
      </c>
      <c r="C312" s="28">
        <v>47547690</v>
      </c>
      <c r="D312" s="26">
        <v>45674</v>
      </c>
      <c r="E312" s="29">
        <v>11429375</v>
      </c>
      <c r="F312" s="28" t="s">
        <v>97</v>
      </c>
      <c r="G312" s="32">
        <v>474000</v>
      </c>
      <c r="H312" s="23">
        <f t="shared" si="4"/>
        <v>165900</v>
      </c>
      <c r="I312" s="28" t="s">
        <v>11</v>
      </c>
      <c r="J312" s="13" t="s">
        <v>13</v>
      </c>
      <c r="K312" s="28" t="s">
        <v>440</v>
      </c>
    </row>
    <row r="313" spans="1:11" ht="30.75" customHeight="1" x14ac:dyDescent="0.25">
      <c r="A313" s="22" t="s">
        <v>44</v>
      </c>
      <c r="B313" s="28">
        <v>47598472</v>
      </c>
      <c r="C313" s="28">
        <v>47598479</v>
      </c>
      <c r="D313" s="26">
        <v>45979</v>
      </c>
      <c r="E313" s="29">
        <v>7926065</v>
      </c>
      <c r="F313" s="28" t="s">
        <v>98</v>
      </c>
      <c r="G313" s="32">
        <v>85000</v>
      </c>
      <c r="H313" s="23">
        <f t="shared" si="4"/>
        <v>29749.999999999996</v>
      </c>
      <c r="I313" s="28" t="s">
        <v>9</v>
      </c>
      <c r="J313" s="13" t="s">
        <v>15</v>
      </c>
      <c r="K313" s="28" t="s">
        <v>441</v>
      </c>
    </row>
    <row r="314" spans="1:11" ht="30.75" customHeight="1" x14ac:dyDescent="0.25">
      <c r="A314" s="22" t="s">
        <v>44</v>
      </c>
      <c r="B314" s="28">
        <v>47598474</v>
      </c>
      <c r="C314" s="28">
        <v>47598481</v>
      </c>
      <c r="D314" s="26">
        <v>45979</v>
      </c>
      <c r="E314" s="29">
        <v>7926065</v>
      </c>
      <c r="F314" s="28" t="s">
        <v>98</v>
      </c>
      <c r="G314" s="32">
        <v>85000</v>
      </c>
      <c r="H314" s="23">
        <f t="shared" si="4"/>
        <v>29749.999999999996</v>
      </c>
      <c r="I314" s="28" t="s">
        <v>9</v>
      </c>
      <c r="J314" s="13" t="s">
        <v>15</v>
      </c>
      <c r="K314" s="28" t="s">
        <v>442</v>
      </c>
    </row>
    <row r="315" spans="1:11" ht="30.75" customHeight="1" x14ac:dyDescent="0.25">
      <c r="A315" s="22" t="s">
        <v>44</v>
      </c>
      <c r="B315" s="28">
        <v>47585901</v>
      </c>
      <c r="C315" s="28">
        <v>47585923</v>
      </c>
      <c r="D315" s="26">
        <v>45979</v>
      </c>
      <c r="E315" s="29">
        <v>71707109</v>
      </c>
      <c r="F315" s="28" t="s">
        <v>99</v>
      </c>
      <c r="G315" s="32">
        <v>193860</v>
      </c>
      <c r="H315" s="23">
        <f t="shared" si="4"/>
        <v>67851</v>
      </c>
      <c r="I315" s="28" t="s">
        <v>11</v>
      </c>
      <c r="J315" s="13" t="s">
        <v>13</v>
      </c>
      <c r="K315" s="28" t="s">
        <v>443</v>
      </c>
    </row>
    <row r="316" spans="1:11" ht="30.75" customHeight="1" x14ac:dyDescent="0.25">
      <c r="A316" s="22" t="s">
        <v>44</v>
      </c>
      <c r="B316" s="28">
        <v>47614243</v>
      </c>
      <c r="C316" s="28">
        <v>47614270</v>
      </c>
      <c r="D316" s="26">
        <v>45979</v>
      </c>
      <c r="E316" s="29">
        <v>71707109</v>
      </c>
      <c r="F316" s="28" t="s">
        <v>99</v>
      </c>
      <c r="G316" s="32">
        <v>181739</v>
      </c>
      <c r="H316" s="23">
        <f t="shared" si="4"/>
        <v>63608.649999999994</v>
      </c>
      <c r="I316" s="28" t="s">
        <v>11</v>
      </c>
      <c r="J316" s="13" t="s">
        <v>13</v>
      </c>
      <c r="K316" s="28" t="s">
        <v>444</v>
      </c>
    </row>
    <row r="317" spans="1:11" ht="30.75" customHeight="1" x14ac:dyDescent="0.25">
      <c r="A317" s="22" t="s">
        <v>44</v>
      </c>
      <c r="B317" s="28">
        <v>47613315</v>
      </c>
      <c r="C317" s="28">
        <v>47613624</v>
      </c>
      <c r="D317" s="26">
        <v>45979</v>
      </c>
      <c r="E317" s="29">
        <v>73097405</v>
      </c>
      <c r="F317" s="28" t="s">
        <v>100</v>
      </c>
      <c r="G317" s="32">
        <v>35000</v>
      </c>
      <c r="H317" s="23">
        <f t="shared" si="4"/>
        <v>12250</v>
      </c>
      <c r="I317" s="28" t="s">
        <v>11</v>
      </c>
      <c r="J317" s="13" t="s">
        <v>13</v>
      </c>
      <c r="K317" s="28" t="s">
        <v>445</v>
      </c>
    </row>
    <row r="318" spans="1:11" ht="30.75" customHeight="1" x14ac:dyDescent="0.25">
      <c r="A318" s="22" t="s">
        <v>44</v>
      </c>
      <c r="B318" s="28">
        <v>47615049</v>
      </c>
      <c r="C318" s="28">
        <v>47615074</v>
      </c>
      <c r="D318" s="26">
        <v>45979</v>
      </c>
      <c r="E318" s="29">
        <v>82384912</v>
      </c>
      <c r="F318" s="28" t="s">
        <v>101</v>
      </c>
      <c r="G318" s="32">
        <v>41840</v>
      </c>
      <c r="H318" s="23">
        <f t="shared" si="4"/>
        <v>14643.999999999998</v>
      </c>
      <c r="I318" s="28" t="s">
        <v>11</v>
      </c>
      <c r="J318" s="13" t="s">
        <v>13</v>
      </c>
      <c r="K318" s="28" t="s">
        <v>446</v>
      </c>
    </row>
    <row r="319" spans="1:11" ht="30.75" customHeight="1" x14ac:dyDescent="0.25">
      <c r="A319" s="22" t="s">
        <v>44</v>
      </c>
      <c r="B319" s="28">
        <v>47618071</v>
      </c>
      <c r="C319" s="28">
        <v>47618174</v>
      </c>
      <c r="D319" s="26">
        <v>45979</v>
      </c>
      <c r="E319" s="29">
        <v>79732589</v>
      </c>
      <c r="F319" s="28" t="s">
        <v>102</v>
      </c>
      <c r="G319" s="32">
        <v>96150</v>
      </c>
      <c r="H319" s="23">
        <f t="shared" si="4"/>
        <v>33652.5</v>
      </c>
      <c r="I319" s="28" t="s">
        <v>11</v>
      </c>
      <c r="J319" s="13" t="s">
        <v>13</v>
      </c>
      <c r="K319" s="28" t="s">
        <v>447</v>
      </c>
    </row>
    <row r="320" spans="1:11" ht="30.75" customHeight="1" x14ac:dyDescent="0.25">
      <c r="A320" s="22" t="s">
        <v>44</v>
      </c>
      <c r="B320" s="28">
        <v>47591088</v>
      </c>
      <c r="C320" s="28">
        <v>47591092</v>
      </c>
      <c r="D320" s="26">
        <v>45976</v>
      </c>
      <c r="E320" s="29">
        <v>85260647</v>
      </c>
      <c r="F320" s="28" t="s">
        <v>30</v>
      </c>
      <c r="G320" s="32">
        <v>25000</v>
      </c>
      <c r="H320" s="23">
        <f t="shared" si="4"/>
        <v>8750</v>
      </c>
      <c r="I320" s="28" t="s">
        <v>9</v>
      </c>
      <c r="J320" s="13" t="s">
        <v>15</v>
      </c>
      <c r="K320" s="28" t="s">
        <v>448</v>
      </c>
    </row>
    <row r="321" spans="1:11" ht="30.75" customHeight="1" x14ac:dyDescent="0.25">
      <c r="A321" s="22" t="s">
        <v>44</v>
      </c>
      <c r="B321" s="28">
        <v>47591099</v>
      </c>
      <c r="C321" s="28">
        <v>47591101</v>
      </c>
      <c r="D321" s="26">
        <v>45976</v>
      </c>
      <c r="E321" s="29">
        <v>85260647</v>
      </c>
      <c r="F321" s="28" t="s">
        <v>30</v>
      </c>
      <c r="G321" s="32">
        <v>25000</v>
      </c>
      <c r="H321" s="23">
        <f t="shared" si="4"/>
        <v>8750</v>
      </c>
      <c r="I321" s="28" t="s">
        <v>9</v>
      </c>
      <c r="J321" s="13" t="s">
        <v>15</v>
      </c>
      <c r="K321" s="28" t="s">
        <v>449</v>
      </c>
    </row>
    <row r="322" spans="1:11" ht="30.75" customHeight="1" x14ac:dyDescent="0.25">
      <c r="A322" s="22" t="s">
        <v>44</v>
      </c>
      <c r="B322" s="28">
        <v>47591106</v>
      </c>
      <c r="C322" s="28">
        <v>47591109</v>
      </c>
      <c r="D322" s="26">
        <v>45976</v>
      </c>
      <c r="E322" s="29">
        <v>85260647</v>
      </c>
      <c r="F322" s="28" t="s">
        <v>30</v>
      </c>
      <c r="G322" s="32">
        <v>25000</v>
      </c>
      <c r="H322" s="23">
        <f t="shared" si="4"/>
        <v>8750</v>
      </c>
      <c r="I322" s="28" t="s">
        <v>9</v>
      </c>
      <c r="J322" s="13" t="s">
        <v>15</v>
      </c>
      <c r="K322" s="28" t="s">
        <v>450</v>
      </c>
    </row>
    <row r="323" spans="1:11" ht="30.75" customHeight="1" x14ac:dyDescent="0.25">
      <c r="A323" s="22" t="s">
        <v>44</v>
      </c>
      <c r="B323" s="28">
        <v>47591127</v>
      </c>
      <c r="C323" s="28">
        <v>47591129</v>
      </c>
      <c r="D323" s="26">
        <v>45976</v>
      </c>
      <c r="E323" s="29">
        <v>85260647</v>
      </c>
      <c r="F323" s="28" t="s">
        <v>30</v>
      </c>
      <c r="G323" s="32">
        <v>25000</v>
      </c>
      <c r="H323" s="23">
        <f t="shared" si="4"/>
        <v>8750</v>
      </c>
      <c r="I323" s="28" t="s">
        <v>9</v>
      </c>
      <c r="J323" s="13" t="s">
        <v>15</v>
      </c>
      <c r="K323" s="28" t="s">
        <v>451</v>
      </c>
    </row>
    <row r="324" spans="1:11" ht="30.75" customHeight="1" x14ac:dyDescent="0.25">
      <c r="A324" s="22" t="s">
        <v>44</v>
      </c>
      <c r="B324" s="28">
        <v>47591145</v>
      </c>
      <c r="C324" s="28">
        <v>47591164</v>
      </c>
      <c r="D324" s="26">
        <v>45976</v>
      </c>
      <c r="E324" s="29">
        <v>85260647</v>
      </c>
      <c r="F324" s="28" t="s">
        <v>30</v>
      </c>
      <c r="G324" s="32">
        <v>25000</v>
      </c>
      <c r="H324" s="23">
        <f t="shared" si="4"/>
        <v>8750</v>
      </c>
      <c r="I324" s="28" t="s">
        <v>9</v>
      </c>
      <c r="J324" s="13" t="s">
        <v>15</v>
      </c>
      <c r="K324" s="28" t="s">
        <v>452</v>
      </c>
    </row>
    <row r="325" spans="1:11" ht="30.75" customHeight="1" x14ac:dyDescent="0.25">
      <c r="A325" s="22" t="s">
        <v>44</v>
      </c>
      <c r="B325" s="28">
        <v>47591146</v>
      </c>
      <c r="C325" s="28">
        <v>47591168</v>
      </c>
      <c r="D325" s="26">
        <v>45976</v>
      </c>
      <c r="E325" s="29">
        <v>85260647</v>
      </c>
      <c r="F325" s="28" t="s">
        <v>30</v>
      </c>
      <c r="G325" s="32">
        <v>25000</v>
      </c>
      <c r="H325" s="23">
        <f t="shared" ref="H325:H388" si="5">+G325*35%</f>
        <v>8750</v>
      </c>
      <c r="I325" s="28" t="s">
        <v>9</v>
      </c>
      <c r="J325" s="13" t="s">
        <v>15</v>
      </c>
      <c r="K325" s="28" t="s">
        <v>453</v>
      </c>
    </row>
    <row r="326" spans="1:11" ht="30.75" customHeight="1" x14ac:dyDescent="0.25">
      <c r="A326" s="22" t="s">
        <v>44</v>
      </c>
      <c r="B326" s="28">
        <v>47591191</v>
      </c>
      <c r="C326" s="28">
        <v>47591237</v>
      </c>
      <c r="D326" s="26">
        <v>45976</v>
      </c>
      <c r="E326" s="29">
        <v>85260647</v>
      </c>
      <c r="F326" s="28" t="s">
        <v>30</v>
      </c>
      <c r="G326" s="32">
        <v>25000</v>
      </c>
      <c r="H326" s="23">
        <f t="shared" si="5"/>
        <v>8750</v>
      </c>
      <c r="I326" s="28" t="s">
        <v>9</v>
      </c>
      <c r="J326" s="13" t="s">
        <v>15</v>
      </c>
      <c r="K326" s="28" t="s">
        <v>454</v>
      </c>
    </row>
    <row r="327" spans="1:11" ht="30.75" customHeight="1" x14ac:dyDescent="0.25">
      <c r="A327" s="22" t="s">
        <v>44</v>
      </c>
      <c r="B327" s="28">
        <v>47591198</v>
      </c>
      <c r="C327" s="28">
        <v>47591240</v>
      </c>
      <c r="D327" s="26">
        <v>45976</v>
      </c>
      <c r="E327" s="29">
        <v>85260647</v>
      </c>
      <c r="F327" s="28" t="s">
        <v>30</v>
      </c>
      <c r="G327" s="32">
        <v>25000</v>
      </c>
      <c r="H327" s="23">
        <f t="shared" si="5"/>
        <v>8750</v>
      </c>
      <c r="I327" s="28" t="s">
        <v>9</v>
      </c>
      <c r="J327" s="13" t="s">
        <v>15</v>
      </c>
      <c r="K327" s="28" t="s">
        <v>455</v>
      </c>
    </row>
    <row r="328" spans="1:11" ht="30.75" customHeight="1" x14ac:dyDescent="0.25">
      <c r="A328" s="22" t="s">
        <v>44</v>
      </c>
      <c r="B328" s="28">
        <v>47591233</v>
      </c>
      <c r="C328" s="28">
        <v>47591242</v>
      </c>
      <c r="D328" s="26">
        <v>45976</v>
      </c>
      <c r="E328" s="29">
        <v>85260647</v>
      </c>
      <c r="F328" s="28" t="s">
        <v>30</v>
      </c>
      <c r="G328" s="32">
        <v>25000</v>
      </c>
      <c r="H328" s="23">
        <f t="shared" si="5"/>
        <v>8750</v>
      </c>
      <c r="I328" s="28" t="s">
        <v>9</v>
      </c>
      <c r="J328" s="13" t="s">
        <v>15</v>
      </c>
      <c r="K328" s="28" t="s">
        <v>456</v>
      </c>
    </row>
    <row r="329" spans="1:11" ht="30.75" customHeight="1" x14ac:dyDescent="0.25">
      <c r="A329" s="22" t="s">
        <v>44</v>
      </c>
      <c r="B329" s="28">
        <v>47591234</v>
      </c>
      <c r="C329" s="28">
        <v>47591247</v>
      </c>
      <c r="D329" s="26">
        <v>45976</v>
      </c>
      <c r="E329" s="29">
        <v>85260647</v>
      </c>
      <c r="F329" s="28" t="s">
        <v>30</v>
      </c>
      <c r="G329" s="32">
        <v>25000</v>
      </c>
      <c r="H329" s="23">
        <f t="shared" si="5"/>
        <v>8750</v>
      </c>
      <c r="I329" s="28" t="s">
        <v>9</v>
      </c>
      <c r="J329" s="13" t="s">
        <v>15</v>
      </c>
      <c r="K329" s="28" t="s">
        <v>457</v>
      </c>
    </row>
    <row r="330" spans="1:11" ht="30.75" customHeight="1" x14ac:dyDescent="0.25">
      <c r="A330" s="22" t="s">
        <v>44</v>
      </c>
      <c r="B330" s="28">
        <v>47591258</v>
      </c>
      <c r="C330" s="28">
        <v>47591306</v>
      </c>
      <c r="D330" s="26">
        <v>45976</v>
      </c>
      <c r="E330" s="29">
        <v>85260647</v>
      </c>
      <c r="F330" s="28" t="s">
        <v>30</v>
      </c>
      <c r="G330" s="32">
        <v>25000</v>
      </c>
      <c r="H330" s="23">
        <f t="shared" si="5"/>
        <v>8750</v>
      </c>
      <c r="I330" s="28" t="s">
        <v>9</v>
      </c>
      <c r="J330" s="13" t="s">
        <v>15</v>
      </c>
      <c r="K330" s="28" t="s">
        <v>458</v>
      </c>
    </row>
    <row r="331" spans="1:11" ht="30.75" customHeight="1" x14ac:dyDescent="0.25">
      <c r="A331" s="22" t="s">
        <v>44</v>
      </c>
      <c r="B331" s="28">
        <v>47591263</v>
      </c>
      <c r="C331" s="28">
        <v>47591308</v>
      </c>
      <c r="D331" s="26">
        <v>45976</v>
      </c>
      <c r="E331" s="29">
        <v>85260647</v>
      </c>
      <c r="F331" s="28" t="s">
        <v>30</v>
      </c>
      <c r="G331" s="32">
        <v>25000</v>
      </c>
      <c r="H331" s="23">
        <f t="shared" si="5"/>
        <v>8750</v>
      </c>
      <c r="I331" s="28" t="s">
        <v>9</v>
      </c>
      <c r="J331" s="13" t="s">
        <v>15</v>
      </c>
      <c r="K331" s="28" t="s">
        <v>459</v>
      </c>
    </row>
    <row r="332" spans="1:11" ht="30.75" customHeight="1" x14ac:dyDescent="0.25">
      <c r="A332" s="22" t="s">
        <v>44</v>
      </c>
      <c r="B332" s="28">
        <v>47591581</v>
      </c>
      <c r="C332" s="28">
        <v>47591583</v>
      </c>
      <c r="D332" s="26">
        <v>45979</v>
      </c>
      <c r="E332" s="29">
        <v>73228451</v>
      </c>
      <c r="F332" s="28" t="s">
        <v>79</v>
      </c>
      <c r="G332" s="32">
        <v>25000</v>
      </c>
      <c r="H332" s="23">
        <f t="shared" si="5"/>
        <v>8750</v>
      </c>
      <c r="I332" s="28" t="s">
        <v>9</v>
      </c>
      <c r="J332" s="13" t="s">
        <v>15</v>
      </c>
      <c r="K332" s="28" t="s">
        <v>460</v>
      </c>
    </row>
    <row r="333" spans="1:11" ht="30.75" customHeight="1" x14ac:dyDescent="0.25">
      <c r="A333" s="22" t="s">
        <v>44</v>
      </c>
      <c r="B333" s="28">
        <v>47591591</v>
      </c>
      <c r="C333" s="28">
        <v>47591595</v>
      </c>
      <c r="D333" s="26">
        <v>45979</v>
      </c>
      <c r="E333" s="29">
        <v>73228451</v>
      </c>
      <c r="F333" s="28" t="s">
        <v>79</v>
      </c>
      <c r="G333" s="32">
        <v>25000</v>
      </c>
      <c r="H333" s="23">
        <f t="shared" si="5"/>
        <v>8750</v>
      </c>
      <c r="I333" s="28" t="s">
        <v>9</v>
      </c>
      <c r="J333" s="13" t="s">
        <v>15</v>
      </c>
      <c r="K333" s="28" t="s">
        <v>461</v>
      </c>
    </row>
    <row r="334" spans="1:11" ht="30.75" customHeight="1" x14ac:dyDescent="0.25">
      <c r="A334" s="22" t="s">
        <v>44</v>
      </c>
      <c r="B334" s="28">
        <v>47598371</v>
      </c>
      <c r="C334" s="28">
        <v>47598377</v>
      </c>
      <c r="D334" s="26">
        <v>45979</v>
      </c>
      <c r="E334" s="29">
        <v>73228451</v>
      </c>
      <c r="F334" s="28" t="s">
        <v>79</v>
      </c>
      <c r="G334" s="32">
        <v>25000</v>
      </c>
      <c r="H334" s="23">
        <f t="shared" si="5"/>
        <v>8750</v>
      </c>
      <c r="I334" s="28" t="s">
        <v>9</v>
      </c>
      <c r="J334" s="13" t="s">
        <v>15</v>
      </c>
      <c r="K334" s="28" t="s">
        <v>462</v>
      </c>
    </row>
    <row r="335" spans="1:11" ht="30.75" customHeight="1" x14ac:dyDescent="0.25">
      <c r="A335" s="22" t="s">
        <v>44</v>
      </c>
      <c r="B335" s="28">
        <v>47598384</v>
      </c>
      <c r="C335" s="28">
        <v>47598387</v>
      </c>
      <c r="D335" s="26">
        <v>45979</v>
      </c>
      <c r="E335" s="29">
        <v>73228451</v>
      </c>
      <c r="F335" s="28" t="s">
        <v>79</v>
      </c>
      <c r="G335" s="32">
        <v>25000</v>
      </c>
      <c r="H335" s="23">
        <f t="shared" si="5"/>
        <v>8750</v>
      </c>
      <c r="I335" s="28" t="s">
        <v>9</v>
      </c>
      <c r="J335" s="13" t="s">
        <v>15</v>
      </c>
      <c r="K335" s="28" t="s">
        <v>463</v>
      </c>
    </row>
    <row r="336" spans="1:11" ht="30.75" customHeight="1" x14ac:dyDescent="0.25">
      <c r="A336" s="22" t="s">
        <v>44</v>
      </c>
      <c r="B336" s="28">
        <v>47598398</v>
      </c>
      <c r="C336" s="28">
        <v>47598404</v>
      </c>
      <c r="D336" s="26">
        <v>45979</v>
      </c>
      <c r="E336" s="29">
        <v>73228451</v>
      </c>
      <c r="F336" s="28" t="s">
        <v>79</v>
      </c>
      <c r="G336" s="32">
        <v>25000</v>
      </c>
      <c r="H336" s="23">
        <f t="shared" si="5"/>
        <v>8750</v>
      </c>
      <c r="I336" s="28" t="s">
        <v>9</v>
      </c>
      <c r="J336" s="13" t="s">
        <v>15</v>
      </c>
      <c r="K336" s="28" t="s">
        <v>464</v>
      </c>
    </row>
    <row r="337" spans="1:11" ht="30.75" customHeight="1" x14ac:dyDescent="0.25">
      <c r="A337" s="22" t="s">
        <v>44</v>
      </c>
      <c r="B337" s="28">
        <v>47598408</v>
      </c>
      <c r="C337" s="28">
        <v>47598411</v>
      </c>
      <c r="D337" s="26">
        <v>45979</v>
      </c>
      <c r="E337" s="29">
        <v>73228451</v>
      </c>
      <c r="F337" s="28" t="s">
        <v>79</v>
      </c>
      <c r="G337" s="32">
        <v>25000</v>
      </c>
      <c r="H337" s="23">
        <f t="shared" si="5"/>
        <v>8750</v>
      </c>
      <c r="I337" s="28" t="s">
        <v>9</v>
      </c>
      <c r="J337" s="13" t="s">
        <v>15</v>
      </c>
      <c r="K337" s="28" t="s">
        <v>465</v>
      </c>
    </row>
    <row r="338" spans="1:11" ht="30.75" customHeight="1" x14ac:dyDescent="0.25">
      <c r="A338" s="22" t="s">
        <v>44</v>
      </c>
      <c r="B338" s="28">
        <v>47598418</v>
      </c>
      <c r="C338" s="28">
        <v>47598421</v>
      </c>
      <c r="D338" s="26">
        <v>45979</v>
      </c>
      <c r="E338" s="29">
        <v>73228451</v>
      </c>
      <c r="F338" s="28" t="s">
        <v>79</v>
      </c>
      <c r="G338" s="32">
        <v>25000</v>
      </c>
      <c r="H338" s="23">
        <f t="shared" si="5"/>
        <v>8750</v>
      </c>
      <c r="I338" s="28" t="s">
        <v>9</v>
      </c>
      <c r="J338" s="13" t="s">
        <v>15</v>
      </c>
      <c r="K338" s="28" t="s">
        <v>466</v>
      </c>
    </row>
    <row r="339" spans="1:11" ht="30.75" customHeight="1" x14ac:dyDescent="0.25">
      <c r="A339" s="22" t="s">
        <v>44</v>
      </c>
      <c r="B339" s="28">
        <v>47598431</v>
      </c>
      <c r="C339" s="28">
        <v>47598434</v>
      </c>
      <c r="D339" s="26">
        <v>45979</v>
      </c>
      <c r="E339" s="29">
        <v>73228451</v>
      </c>
      <c r="F339" s="28" t="s">
        <v>79</v>
      </c>
      <c r="G339" s="32">
        <v>25000</v>
      </c>
      <c r="H339" s="23">
        <f t="shared" si="5"/>
        <v>8750</v>
      </c>
      <c r="I339" s="28" t="s">
        <v>9</v>
      </c>
      <c r="J339" s="13" t="s">
        <v>15</v>
      </c>
      <c r="K339" s="28" t="s">
        <v>467</v>
      </c>
    </row>
    <row r="340" spans="1:11" ht="30.75" customHeight="1" x14ac:dyDescent="0.25">
      <c r="A340" s="22" t="s">
        <v>44</v>
      </c>
      <c r="B340" s="28">
        <v>47598470</v>
      </c>
      <c r="C340" s="28">
        <v>47598477</v>
      </c>
      <c r="D340" s="26">
        <v>45979</v>
      </c>
      <c r="E340" s="29">
        <v>73228451</v>
      </c>
      <c r="F340" s="28" t="s">
        <v>79</v>
      </c>
      <c r="G340" s="32">
        <v>25000</v>
      </c>
      <c r="H340" s="23">
        <f t="shared" si="5"/>
        <v>8750</v>
      </c>
      <c r="I340" s="28" t="s">
        <v>9</v>
      </c>
      <c r="J340" s="13" t="s">
        <v>15</v>
      </c>
      <c r="K340" s="28" t="s">
        <v>468</v>
      </c>
    </row>
    <row r="341" spans="1:11" ht="30.75" customHeight="1" x14ac:dyDescent="0.25">
      <c r="A341" s="22" t="s">
        <v>44</v>
      </c>
      <c r="B341" s="28">
        <v>47598500</v>
      </c>
      <c r="C341" s="28">
        <v>47598503</v>
      </c>
      <c r="D341" s="26">
        <v>45979</v>
      </c>
      <c r="E341" s="29">
        <v>73228451</v>
      </c>
      <c r="F341" s="28" t="s">
        <v>79</v>
      </c>
      <c r="G341" s="32">
        <v>25000</v>
      </c>
      <c r="H341" s="23">
        <f t="shared" si="5"/>
        <v>8750</v>
      </c>
      <c r="I341" s="28" t="s">
        <v>9</v>
      </c>
      <c r="J341" s="13" t="s">
        <v>15</v>
      </c>
      <c r="K341" s="28" t="s">
        <v>469</v>
      </c>
    </row>
    <row r="342" spans="1:11" ht="30.75" customHeight="1" x14ac:dyDescent="0.25">
      <c r="A342" s="22" t="s">
        <v>44</v>
      </c>
      <c r="B342" s="28">
        <v>47615389</v>
      </c>
      <c r="C342" s="28">
        <v>47615415</v>
      </c>
      <c r="D342" s="26">
        <v>45979</v>
      </c>
      <c r="E342" s="29">
        <v>73228451</v>
      </c>
      <c r="F342" s="28" t="s">
        <v>79</v>
      </c>
      <c r="G342" s="32">
        <v>25000</v>
      </c>
      <c r="H342" s="23">
        <f t="shared" si="5"/>
        <v>8750</v>
      </c>
      <c r="I342" s="28" t="s">
        <v>9</v>
      </c>
      <c r="J342" s="13" t="s">
        <v>15</v>
      </c>
      <c r="K342" s="28" t="s">
        <v>470</v>
      </c>
    </row>
    <row r="343" spans="1:11" ht="30.75" customHeight="1" x14ac:dyDescent="0.25">
      <c r="A343" s="22" t="s">
        <v>44</v>
      </c>
      <c r="B343" s="28">
        <v>47615443</v>
      </c>
      <c r="C343" s="28">
        <v>47615460</v>
      </c>
      <c r="D343" s="26">
        <v>45979</v>
      </c>
      <c r="E343" s="29">
        <v>73228451</v>
      </c>
      <c r="F343" s="28" t="s">
        <v>79</v>
      </c>
      <c r="G343" s="32">
        <v>25000</v>
      </c>
      <c r="H343" s="23">
        <f t="shared" si="5"/>
        <v>8750</v>
      </c>
      <c r="I343" s="28" t="s">
        <v>9</v>
      </c>
      <c r="J343" s="13" t="s">
        <v>15</v>
      </c>
      <c r="K343" s="28" t="s">
        <v>471</v>
      </c>
    </row>
    <row r="344" spans="1:11" ht="30.75" customHeight="1" x14ac:dyDescent="0.25">
      <c r="A344" s="22" t="s">
        <v>44</v>
      </c>
      <c r="B344" s="28">
        <v>47611410</v>
      </c>
      <c r="C344" s="28">
        <v>47611437</v>
      </c>
      <c r="D344" s="26">
        <v>45979</v>
      </c>
      <c r="E344" s="29">
        <v>1062293819</v>
      </c>
      <c r="F344" s="28" t="s">
        <v>28</v>
      </c>
      <c r="G344" s="32">
        <v>40000</v>
      </c>
      <c r="H344" s="23">
        <f t="shared" si="5"/>
        <v>14000</v>
      </c>
      <c r="I344" s="28" t="s">
        <v>10</v>
      </c>
      <c r="J344" s="13" t="s">
        <v>26</v>
      </c>
      <c r="K344" s="28" t="s">
        <v>472</v>
      </c>
    </row>
    <row r="345" spans="1:11" ht="30.75" customHeight="1" x14ac:dyDescent="0.25">
      <c r="A345" s="22" t="s">
        <v>44</v>
      </c>
      <c r="B345" s="28">
        <v>47611620</v>
      </c>
      <c r="C345" s="28">
        <v>47611686</v>
      </c>
      <c r="D345" s="26">
        <v>45979</v>
      </c>
      <c r="E345" s="29">
        <v>1062293819</v>
      </c>
      <c r="F345" s="28" t="s">
        <v>28</v>
      </c>
      <c r="G345" s="32">
        <v>40000</v>
      </c>
      <c r="H345" s="23">
        <f t="shared" si="5"/>
        <v>14000</v>
      </c>
      <c r="I345" s="28" t="s">
        <v>10</v>
      </c>
      <c r="J345" s="13" t="s">
        <v>26</v>
      </c>
      <c r="K345" s="28" t="s">
        <v>473</v>
      </c>
    </row>
    <row r="346" spans="1:11" ht="30.75" customHeight="1" x14ac:dyDescent="0.25">
      <c r="A346" s="22" t="s">
        <v>44</v>
      </c>
      <c r="B346" s="28">
        <v>47611817</v>
      </c>
      <c r="C346" s="28">
        <v>47611855</v>
      </c>
      <c r="D346" s="26">
        <v>45979</v>
      </c>
      <c r="E346" s="29">
        <v>1062293819</v>
      </c>
      <c r="F346" s="28" t="s">
        <v>28</v>
      </c>
      <c r="G346" s="32">
        <v>40000</v>
      </c>
      <c r="H346" s="23">
        <f t="shared" si="5"/>
        <v>14000</v>
      </c>
      <c r="I346" s="28" t="s">
        <v>10</v>
      </c>
      <c r="J346" s="13" t="s">
        <v>26</v>
      </c>
      <c r="K346" s="28" t="s">
        <v>474</v>
      </c>
    </row>
    <row r="347" spans="1:11" ht="30.75" customHeight="1" x14ac:dyDescent="0.25">
      <c r="A347" s="22" t="s">
        <v>44</v>
      </c>
      <c r="B347" s="28">
        <v>47611940</v>
      </c>
      <c r="C347" s="28">
        <v>47611991</v>
      </c>
      <c r="D347" s="26">
        <v>45979</v>
      </c>
      <c r="E347" s="29">
        <v>1062293819</v>
      </c>
      <c r="F347" s="28" t="s">
        <v>28</v>
      </c>
      <c r="G347" s="32">
        <v>40000</v>
      </c>
      <c r="H347" s="23">
        <f t="shared" si="5"/>
        <v>14000</v>
      </c>
      <c r="I347" s="28" t="s">
        <v>10</v>
      </c>
      <c r="J347" s="13" t="s">
        <v>26</v>
      </c>
      <c r="K347" s="28" t="s">
        <v>475</v>
      </c>
    </row>
    <row r="348" spans="1:11" ht="30.75" customHeight="1" x14ac:dyDescent="0.25">
      <c r="A348" s="22" t="s">
        <v>44</v>
      </c>
      <c r="B348" s="28">
        <v>47612083</v>
      </c>
      <c r="C348" s="28">
        <v>47612159</v>
      </c>
      <c r="D348" s="26">
        <v>45979</v>
      </c>
      <c r="E348" s="29">
        <v>1062293819</v>
      </c>
      <c r="F348" s="28" t="s">
        <v>28</v>
      </c>
      <c r="G348" s="32">
        <v>40000</v>
      </c>
      <c r="H348" s="23">
        <f t="shared" si="5"/>
        <v>14000</v>
      </c>
      <c r="I348" s="28" t="s">
        <v>10</v>
      </c>
      <c r="J348" s="13" t="s">
        <v>26</v>
      </c>
      <c r="K348" s="28" t="s">
        <v>476</v>
      </c>
    </row>
    <row r="349" spans="1:11" ht="30.75" customHeight="1" x14ac:dyDescent="0.25">
      <c r="A349" s="22" t="s">
        <v>44</v>
      </c>
      <c r="B349" s="28">
        <v>47612185</v>
      </c>
      <c r="C349" s="28">
        <v>47612229</v>
      </c>
      <c r="D349" s="26">
        <v>45979</v>
      </c>
      <c r="E349" s="29">
        <v>1062293819</v>
      </c>
      <c r="F349" s="28" t="s">
        <v>28</v>
      </c>
      <c r="G349" s="32">
        <v>40000</v>
      </c>
      <c r="H349" s="23">
        <f t="shared" si="5"/>
        <v>14000</v>
      </c>
      <c r="I349" s="28" t="s">
        <v>10</v>
      </c>
      <c r="J349" s="13" t="s">
        <v>26</v>
      </c>
      <c r="K349" s="28" t="s">
        <v>477</v>
      </c>
    </row>
    <row r="350" spans="1:11" ht="30.75" customHeight="1" x14ac:dyDescent="0.25">
      <c r="A350" s="22" t="s">
        <v>44</v>
      </c>
      <c r="B350" s="28">
        <v>47612266</v>
      </c>
      <c r="C350" s="28">
        <v>47612315</v>
      </c>
      <c r="D350" s="26">
        <v>45979</v>
      </c>
      <c r="E350" s="29">
        <v>1062293819</v>
      </c>
      <c r="F350" s="28" t="s">
        <v>28</v>
      </c>
      <c r="G350" s="32">
        <v>40000</v>
      </c>
      <c r="H350" s="23">
        <f t="shared" si="5"/>
        <v>14000</v>
      </c>
      <c r="I350" s="28" t="s">
        <v>10</v>
      </c>
      <c r="J350" s="13" t="s">
        <v>26</v>
      </c>
      <c r="K350" s="28" t="s">
        <v>478</v>
      </c>
    </row>
    <row r="351" spans="1:11" ht="30.75" customHeight="1" x14ac:dyDescent="0.25">
      <c r="A351" s="22" t="s">
        <v>44</v>
      </c>
      <c r="B351" s="28">
        <v>47612376</v>
      </c>
      <c r="C351" s="28">
        <v>47612420</v>
      </c>
      <c r="D351" s="26">
        <v>45979</v>
      </c>
      <c r="E351" s="29">
        <v>1062293819</v>
      </c>
      <c r="F351" s="28" t="s">
        <v>28</v>
      </c>
      <c r="G351" s="32">
        <v>40000</v>
      </c>
      <c r="H351" s="23">
        <f t="shared" si="5"/>
        <v>14000</v>
      </c>
      <c r="I351" s="28" t="s">
        <v>10</v>
      </c>
      <c r="J351" s="13" t="s">
        <v>26</v>
      </c>
      <c r="K351" s="28" t="s">
        <v>479</v>
      </c>
    </row>
    <row r="352" spans="1:11" ht="30.75" customHeight="1" x14ac:dyDescent="0.25">
      <c r="A352" s="22" t="s">
        <v>44</v>
      </c>
      <c r="B352" s="28">
        <v>47612495</v>
      </c>
      <c r="C352" s="28">
        <v>47612553</v>
      </c>
      <c r="D352" s="26">
        <v>45979</v>
      </c>
      <c r="E352" s="29">
        <v>1062293819</v>
      </c>
      <c r="F352" s="28" t="s">
        <v>28</v>
      </c>
      <c r="G352" s="32">
        <v>40000</v>
      </c>
      <c r="H352" s="23">
        <f t="shared" si="5"/>
        <v>14000</v>
      </c>
      <c r="I352" s="28" t="s">
        <v>10</v>
      </c>
      <c r="J352" s="13" t="s">
        <v>26</v>
      </c>
      <c r="K352" s="28" t="s">
        <v>480</v>
      </c>
    </row>
    <row r="353" spans="1:11" ht="30.75" customHeight="1" x14ac:dyDescent="0.25">
      <c r="A353" s="22" t="s">
        <v>44</v>
      </c>
      <c r="B353" s="28">
        <v>47612594</v>
      </c>
      <c r="C353" s="28">
        <v>47612631</v>
      </c>
      <c r="D353" s="26">
        <v>45979</v>
      </c>
      <c r="E353" s="29">
        <v>1062293819</v>
      </c>
      <c r="F353" s="28" t="s">
        <v>28</v>
      </c>
      <c r="G353" s="32">
        <v>40000</v>
      </c>
      <c r="H353" s="23">
        <f t="shared" si="5"/>
        <v>14000</v>
      </c>
      <c r="I353" s="28" t="s">
        <v>10</v>
      </c>
      <c r="J353" s="13" t="s">
        <v>26</v>
      </c>
      <c r="K353" s="28" t="s">
        <v>481</v>
      </c>
    </row>
    <row r="354" spans="1:11" ht="30.75" customHeight="1" x14ac:dyDescent="0.25">
      <c r="A354" s="22" t="s">
        <v>44</v>
      </c>
      <c r="B354" s="28">
        <v>47612800</v>
      </c>
      <c r="C354" s="28">
        <v>47612892</v>
      </c>
      <c r="D354" s="26">
        <v>45979</v>
      </c>
      <c r="E354" s="29">
        <v>1062293819</v>
      </c>
      <c r="F354" s="28" t="s">
        <v>28</v>
      </c>
      <c r="G354" s="32">
        <v>40000</v>
      </c>
      <c r="H354" s="23">
        <f t="shared" si="5"/>
        <v>14000</v>
      </c>
      <c r="I354" s="28" t="s">
        <v>10</v>
      </c>
      <c r="J354" s="13" t="s">
        <v>26</v>
      </c>
      <c r="K354" s="28" t="s">
        <v>482</v>
      </c>
    </row>
    <row r="355" spans="1:11" ht="30.75" customHeight="1" x14ac:dyDescent="0.25">
      <c r="A355" s="22" t="s">
        <v>44</v>
      </c>
      <c r="B355" s="28">
        <v>47612962</v>
      </c>
      <c r="C355" s="28">
        <v>47613011</v>
      </c>
      <c r="D355" s="26">
        <v>45979</v>
      </c>
      <c r="E355" s="29">
        <v>1062293819</v>
      </c>
      <c r="F355" s="28" t="s">
        <v>28</v>
      </c>
      <c r="G355" s="32">
        <v>40000</v>
      </c>
      <c r="H355" s="23">
        <f t="shared" si="5"/>
        <v>14000</v>
      </c>
      <c r="I355" s="28" t="s">
        <v>10</v>
      </c>
      <c r="J355" s="13" t="s">
        <v>26</v>
      </c>
      <c r="K355" s="28" t="s">
        <v>483</v>
      </c>
    </row>
    <row r="356" spans="1:11" ht="30.75" customHeight="1" x14ac:dyDescent="0.25">
      <c r="A356" s="22" t="s">
        <v>44</v>
      </c>
      <c r="B356" s="28">
        <v>47613149</v>
      </c>
      <c r="C356" s="28">
        <v>47613200</v>
      </c>
      <c r="D356" s="26">
        <v>45979</v>
      </c>
      <c r="E356" s="29">
        <v>1062293819</v>
      </c>
      <c r="F356" s="28" t="s">
        <v>28</v>
      </c>
      <c r="G356" s="32">
        <v>40000</v>
      </c>
      <c r="H356" s="23">
        <f t="shared" si="5"/>
        <v>14000</v>
      </c>
      <c r="I356" s="28" t="s">
        <v>10</v>
      </c>
      <c r="J356" s="13" t="s">
        <v>26</v>
      </c>
      <c r="K356" s="28" t="s">
        <v>484</v>
      </c>
    </row>
    <row r="357" spans="1:11" ht="30.75" customHeight="1" x14ac:dyDescent="0.25">
      <c r="A357" s="22" t="s">
        <v>44</v>
      </c>
      <c r="B357" s="28">
        <v>47613230</v>
      </c>
      <c r="C357" s="28">
        <v>47613301</v>
      </c>
      <c r="D357" s="26">
        <v>45979</v>
      </c>
      <c r="E357" s="29">
        <v>1062293819</v>
      </c>
      <c r="F357" s="28" t="s">
        <v>28</v>
      </c>
      <c r="G357" s="32">
        <v>40000</v>
      </c>
      <c r="H357" s="23">
        <f t="shared" si="5"/>
        <v>14000</v>
      </c>
      <c r="I357" s="28" t="s">
        <v>10</v>
      </c>
      <c r="J357" s="13" t="s">
        <v>26</v>
      </c>
      <c r="K357" s="28" t="s">
        <v>485</v>
      </c>
    </row>
    <row r="358" spans="1:11" ht="30.75" customHeight="1" x14ac:dyDescent="0.25">
      <c r="A358" s="22" t="s">
        <v>44</v>
      </c>
      <c r="B358" s="28">
        <v>47613367</v>
      </c>
      <c r="C358" s="28">
        <v>47613418</v>
      </c>
      <c r="D358" s="26">
        <v>45979</v>
      </c>
      <c r="E358" s="29">
        <v>1062293819</v>
      </c>
      <c r="F358" s="28" t="s">
        <v>28</v>
      </c>
      <c r="G358" s="32">
        <v>40000</v>
      </c>
      <c r="H358" s="23">
        <f t="shared" si="5"/>
        <v>14000</v>
      </c>
      <c r="I358" s="28" t="s">
        <v>10</v>
      </c>
      <c r="J358" s="13" t="s">
        <v>26</v>
      </c>
      <c r="K358" s="28" t="s">
        <v>486</v>
      </c>
    </row>
    <row r="359" spans="1:11" ht="30.75" customHeight="1" x14ac:dyDescent="0.25">
      <c r="A359" s="22" t="s">
        <v>44</v>
      </c>
      <c r="B359" s="28">
        <v>47613466</v>
      </c>
      <c r="C359" s="28">
        <v>47613502</v>
      </c>
      <c r="D359" s="26">
        <v>45979</v>
      </c>
      <c r="E359" s="29">
        <v>1062293819</v>
      </c>
      <c r="F359" s="28" t="s">
        <v>28</v>
      </c>
      <c r="G359" s="32">
        <v>40000</v>
      </c>
      <c r="H359" s="23">
        <f t="shared" si="5"/>
        <v>14000</v>
      </c>
      <c r="I359" s="28" t="s">
        <v>10</v>
      </c>
      <c r="J359" s="13" t="s">
        <v>26</v>
      </c>
      <c r="K359" s="28" t="s">
        <v>487</v>
      </c>
    </row>
    <row r="360" spans="1:11" ht="30.75" customHeight="1" x14ac:dyDescent="0.25">
      <c r="A360" s="22" t="s">
        <v>44</v>
      </c>
      <c r="B360" s="28">
        <v>47625696</v>
      </c>
      <c r="C360" s="28">
        <v>47626322</v>
      </c>
      <c r="D360" s="26">
        <v>45980</v>
      </c>
      <c r="E360" s="29">
        <v>49731614</v>
      </c>
      <c r="F360" s="28" t="s">
        <v>40</v>
      </c>
      <c r="G360" s="32">
        <v>70000</v>
      </c>
      <c r="H360" s="23">
        <f t="shared" si="5"/>
        <v>24500</v>
      </c>
      <c r="I360" s="28" t="s">
        <v>11</v>
      </c>
      <c r="J360" s="13" t="s">
        <v>13</v>
      </c>
      <c r="K360" s="28" t="s">
        <v>488</v>
      </c>
    </row>
    <row r="361" spans="1:11" ht="30.75" customHeight="1" x14ac:dyDescent="0.25">
      <c r="A361" s="22" t="s">
        <v>44</v>
      </c>
      <c r="B361" s="28">
        <v>47622523</v>
      </c>
      <c r="C361" s="28">
        <v>47622535</v>
      </c>
      <c r="D361" s="26">
        <v>45980</v>
      </c>
      <c r="E361" s="29">
        <v>85458421</v>
      </c>
      <c r="F361" s="28" t="s">
        <v>25</v>
      </c>
      <c r="G361" s="32">
        <v>25000</v>
      </c>
      <c r="H361" s="23">
        <f t="shared" si="5"/>
        <v>8750</v>
      </c>
      <c r="I361" s="28" t="s">
        <v>9</v>
      </c>
      <c r="J361" s="13" t="s">
        <v>15</v>
      </c>
      <c r="K361" s="28" t="s">
        <v>489</v>
      </c>
    </row>
    <row r="362" spans="1:11" ht="30.75" customHeight="1" x14ac:dyDescent="0.25">
      <c r="A362" s="22" t="s">
        <v>44</v>
      </c>
      <c r="B362" s="28">
        <v>47622521</v>
      </c>
      <c r="C362" s="28">
        <v>47622531</v>
      </c>
      <c r="D362" s="26">
        <v>45980</v>
      </c>
      <c r="E362" s="29">
        <v>85458421</v>
      </c>
      <c r="F362" s="28" t="s">
        <v>25</v>
      </c>
      <c r="G362" s="32">
        <v>25000</v>
      </c>
      <c r="H362" s="23">
        <f t="shared" si="5"/>
        <v>8750</v>
      </c>
      <c r="I362" s="28" t="s">
        <v>9</v>
      </c>
      <c r="J362" s="13" t="s">
        <v>15</v>
      </c>
      <c r="K362" s="28" t="s">
        <v>490</v>
      </c>
    </row>
    <row r="363" spans="1:11" ht="30.75" customHeight="1" x14ac:dyDescent="0.25">
      <c r="A363" s="22" t="s">
        <v>44</v>
      </c>
      <c r="B363" s="28">
        <v>47622574</v>
      </c>
      <c r="C363" s="28">
        <v>47622584</v>
      </c>
      <c r="D363" s="26">
        <v>45980</v>
      </c>
      <c r="E363" s="29">
        <v>85458421</v>
      </c>
      <c r="F363" s="28" t="s">
        <v>25</v>
      </c>
      <c r="G363" s="32">
        <v>25000</v>
      </c>
      <c r="H363" s="23">
        <f t="shared" si="5"/>
        <v>8750</v>
      </c>
      <c r="I363" s="28" t="s">
        <v>9</v>
      </c>
      <c r="J363" s="13" t="s">
        <v>15</v>
      </c>
      <c r="K363" s="28" t="s">
        <v>491</v>
      </c>
    </row>
    <row r="364" spans="1:11" ht="30.75" customHeight="1" x14ac:dyDescent="0.25">
      <c r="A364" s="22" t="s">
        <v>44</v>
      </c>
      <c r="B364" s="28">
        <v>47622580</v>
      </c>
      <c r="C364" s="28">
        <v>47622593</v>
      </c>
      <c r="D364" s="26">
        <v>45980</v>
      </c>
      <c r="E364" s="29">
        <v>85458421</v>
      </c>
      <c r="F364" s="28" t="s">
        <v>25</v>
      </c>
      <c r="G364" s="32">
        <v>25000</v>
      </c>
      <c r="H364" s="23">
        <f t="shared" si="5"/>
        <v>8750</v>
      </c>
      <c r="I364" s="28" t="s">
        <v>9</v>
      </c>
      <c r="J364" s="13" t="s">
        <v>15</v>
      </c>
      <c r="K364" s="28" t="s">
        <v>492</v>
      </c>
    </row>
    <row r="365" spans="1:11" ht="30.75" customHeight="1" x14ac:dyDescent="0.25">
      <c r="A365" s="22" t="s">
        <v>44</v>
      </c>
      <c r="B365" s="28">
        <v>47622612</v>
      </c>
      <c r="C365" s="28">
        <v>47622626</v>
      </c>
      <c r="D365" s="26">
        <v>45980</v>
      </c>
      <c r="E365" s="29">
        <v>85458421</v>
      </c>
      <c r="F365" s="28" t="s">
        <v>25</v>
      </c>
      <c r="G365" s="32">
        <v>25000</v>
      </c>
      <c r="H365" s="23">
        <f t="shared" si="5"/>
        <v>8750</v>
      </c>
      <c r="I365" s="28" t="s">
        <v>9</v>
      </c>
      <c r="J365" s="13" t="s">
        <v>15</v>
      </c>
      <c r="K365" s="28" t="s">
        <v>493</v>
      </c>
    </row>
    <row r="366" spans="1:11" ht="30.75" customHeight="1" x14ac:dyDescent="0.25">
      <c r="A366" s="22" t="s">
        <v>44</v>
      </c>
      <c r="B366" s="28">
        <v>47622613</v>
      </c>
      <c r="C366" s="28">
        <v>47622628</v>
      </c>
      <c r="D366" s="26">
        <v>45980</v>
      </c>
      <c r="E366" s="29">
        <v>85458421</v>
      </c>
      <c r="F366" s="28" t="s">
        <v>25</v>
      </c>
      <c r="G366" s="32">
        <v>25000</v>
      </c>
      <c r="H366" s="23">
        <f t="shared" si="5"/>
        <v>8750</v>
      </c>
      <c r="I366" s="28" t="s">
        <v>9</v>
      </c>
      <c r="J366" s="13" t="s">
        <v>15</v>
      </c>
      <c r="K366" s="28" t="s">
        <v>494</v>
      </c>
    </row>
    <row r="367" spans="1:11" ht="30.75" customHeight="1" x14ac:dyDescent="0.25">
      <c r="A367" s="22" t="s">
        <v>44</v>
      </c>
      <c r="B367" s="28">
        <v>47632194</v>
      </c>
      <c r="C367" s="28">
        <v>47632386</v>
      </c>
      <c r="D367" s="26">
        <v>45980</v>
      </c>
      <c r="E367" s="29">
        <v>93385733</v>
      </c>
      <c r="F367" s="28" t="s">
        <v>103</v>
      </c>
      <c r="G367" s="32">
        <v>417788</v>
      </c>
      <c r="H367" s="23">
        <f t="shared" si="5"/>
        <v>146225.79999999999</v>
      </c>
      <c r="I367" s="28" t="s">
        <v>11</v>
      </c>
      <c r="J367" s="13" t="s">
        <v>13</v>
      </c>
      <c r="K367" s="28" t="s">
        <v>495</v>
      </c>
    </row>
    <row r="368" spans="1:11" ht="30.75" customHeight="1" x14ac:dyDescent="0.25">
      <c r="A368" s="22" t="s">
        <v>44</v>
      </c>
      <c r="B368" s="28">
        <v>47628827</v>
      </c>
      <c r="C368" s="28">
        <v>47629117</v>
      </c>
      <c r="D368" s="26">
        <v>45980</v>
      </c>
      <c r="E368" s="29">
        <v>88225757</v>
      </c>
      <c r="F368" s="28" t="s">
        <v>46</v>
      </c>
      <c r="G368" s="32">
        <v>65000</v>
      </c>
      <c r="H368" s="23">
        <f t="shared" si="5"/>
        <v>22750</v>
      </c>
      <c r="I368" s="28" t="s">
        <v>10</v>
      </c>
      <c r="J368" s="13" t="s">
        <v>26</v>
      </c>
      <c r="K368" s="28" t="s">
        <v>496</v>
      </c>
    </row>
    <row r="369" spans="1:11" ht="30.75" customHeight="1" x14ac:dyDescent="0.25">
      <c r="A369" s="22" t="s">
        <v>44</v>
      </c>
      <c r="B369" s="28">
        <v>47628958</v>
      </c>
      <c r="C369" s="28">
        <v>47629102</v>
      </c>
      <c r="D369" s="26">
        <v>45980</v>
      </c>
      <c r="E369" s="29">
        <v>88225757</v>
      </c>
      <c r="F369" s="28" t="s">
        <v>46</v>
      </c>
      <c r="G369" s="32">
        <v>65000</v>
      </c>
      <c r="H369" s="23">
        <f t="shared" si="5"/>
        <v>22750</v>
      </c>
      <c r="I369" s="28" t="s">
        <v>10</v>
      </c>
      <c r="J369" s="13" t="s">
        <v>26</v>
      </c>
      <c r="K369" s="28" t="s">
        <v>497</v>
      </c>
    </row>
    <row r="370" spans="1:11" ht="30.75" customHeight="1" x14ac:dyDescent="0.25">
      <c r="A370" s="22" t="s">
        <v>44</v>
      </c>
      <c r="B370" s="28">
        <v>47629244</v>
      </c>
      <c r="C370" s="28">
        <v>47629785</v>
      </c>
      <c r="D370" s="26">
        <v>45980</v>
      </c>
      <c r="E370" s="29">
        <v>88225757</v>
      </c>
      <c r="F370" s="28" t="s">
        <v>46</v>
      </c>
      <c r="G370" s="32">
        <v>65000</v>
      </c>
      <c r="H370" s="23">
        <f t="shared" si="5"/>
        <v>22750</v>
      </c>
      <c r="I370" s="28" t="s">
        <v>10</v>
      </c>
      <c r="J370" s="13" t="s">
        <v>26</v>
      </c>
      <c r="K370" s="28" t="s">
        <v>498</v>
      </c>
    </row>
    <row r="371" spans="1:11" ht="30.75" customHeight="1" x14ac:dyDescent="0.25">
      <c r="A371" s="22" t="s">
        <v>44</v>
      </c>
      <c r="B371" s="28">
        <v>47629322</v>
      </c>
      <c r="C371" s="28">
        <v>47629804</v>
      </c>
      <c r="D371" s="26">
        <v>45980</v>
      </c>
      <c r="E371" s="29">
        <v>88225757</v>
      </c>
      <c r="F371" s="28" t="s">
        <v>46</v>
      </c>
      <c r="G371" s="32">
        <v>65000</v>
      </c>
      <c r="H371" s="23">
        <f t="shared" si="5"/>
        <v>22750</v>
      </c>
      <c r="I371" s="28" t="s">
        <v>10</v>
      </c>
      <c r="J371" s="13" t="s">
        <v>26</v>
      </c>
      <c r="K371" s="28" t="s">
        <v>499</v>
      </c>
    </row>
    <row r="372" spans="1:11" ht="30.75" customHeight="1" x14ac:dyDescent="0.25">
      <c r="A372" s="22" t="s">
        <v>44</v>
      </c>
      <c r="B372" s="28">
        <v>47629417</v>
      </c>
      <c r="C372" s="28">
        <v>47629820</v>
      </c>
      <c r="D372" s="26">
        <v>45980</v>
      </c>
      <c r="E372" s="29">
        <v>88225757</v>
      </c>
      <c r="F372" s="28" t="s">
        <v>46</v>
      </c>
      <c r="G372" s="32">
        <v>65000</v>
      </c>
      <c r="H372" s="23">
        <f t="shared" si="5"/>
        <v>22750</v>
      </c>
      <c r="I372" s="28" t="s">
        <v>10</v>
      </c>
      <c r="J372" s="13" t="s">
        <v>26</v>
      </c>
      <c r="K372" s="28" t="s">
        <v>500</v>
      </c>
    </row>
    <row r="373" spans="1:11" ht="30.75" customHeight="1" x14ac:dyDescent="0.25">
      <c r="A373" s="22" t="s">
        <v>44</v>
      </c>
      <c r="B373" s="28">
        <v>47629467</v>
      </c>
      <c r="C373" s="28">
        <v>47629833</v>
      </c>
      <c r="D373" s="26">
        <v>45980</v>
      </c>
      <c r="E373" s="29">
        <v>88225757</v>
      </c>
      <c r="F373" s="28" t="s">
        <v>46</v>
      </c>
      <c r="G373" s="32">
        <v>65000</v>
      </c>
      <c r="H373" s="23">
        <f t="shared" si="5"/>
        <v>22750</v>
      </c>
      <c r="I373" s="28" t="s">
        <v>10</v>
      </c>
      <c r="J373" s="13" t="s">
        <v>26</v>
      </c>
      <c r="K373" s="28" t="s">
        <v>501</v>
      </c>
    </row>
    <row r="374" spans="1:11" ht="30.75" customHeight="1" x14ac:dyDescent="0.25">
      <c r="A374" s="22" t="s">
        <v>44</v>
      </c>
      <c r="B374" s="28">
        <v>47629853</v>
      </c>
      <c r="C374" s="28">
        <v>47629919</v>
      </c>
      <c r="D374" s="26">
        <v>45980</v>
      </c>
      <c r="E374" s="29">
        <v>88225757</v>
      </c>
      <c r="F374" s="28" t="s">
        <v>46</v>
      </c>
      <c r="G374" s="32">
        <v>65000</v>
      </c>
      <c r="H374" s="23">
        <f t="shared" si="5"/>
        <v>22750</v>
      </c>
      <c r="I374" s="28" t="s">
        <v>10</v>
      </c>
      <c r="J374" s="13" t="s">
        <v>26</v>
      </c>
      <c r="K374" s="28" t="s">
        <v>502</v>
      </c>
    </row>
    <row r="375" spans="1:11" ht="30.75" customHeight="1" x14ac:dyDescent="0.25">
      <c r="A375" s="22" t="s">
        <v>44</v>
      </c>
      <c r="B375" s="28">
        <v>47629943</v>
      </c>
      <c r="C375" s="28">
        <v>47630002</v>
      </c>
      <c r="D375" s="26">
        <v>45980</v>
      </c>
      <c r="E375" s="29">
        <v>88225757</v>
      </c>
      <c r="F375" s="28" t="s">
        <v>46</v>
      </c>
      <c r="G375" s="32">
        <v>65000</v>
      </c>
      <c r="H375" s="23">
        <f t="shared" si="5"/>
        <v>22750</v>
      </c>
      <c r="I375" s="28" t="s">
        <v>10</v>
      </c>
      <c r="J375" s="13" t="s">
        <v>26</v>
      </c>
      <c r="K375" s="28" t="s">
        <v>503</v>
      </c>
    </row>
    <row r="376" spans="1:11" ht="30.75" customHeight="1" x14ac:dyDescent="0.25">
      <c r="A376" s="22" t="s">
        <v>44</v>
      </c>
      <c r="B376" s="28">
        <v>47632714</v>
      </c>
      <c r="C376" s="28">
        <v>47632765</v>
      </c>
      <c r="D376" s="26">
        <v>45980</v>
      </c>
      <c r="E376" s="29">
        <v>85467459</v>
      </c>
      <c r="F376" s="28" t="s">
        <v>104</v>
      </c>
      <c r="G376" s="32">
        <v>75863</v>
      </c>
      <c r="H376" s="23">
        <f t="shared" si="5"/>
        <v>26552.05</v>
      </c>
      <c r="I376" s="28" t="s">
        <v>11</v>
      </c>
      <c r="J376" s="13" t="s">
        <v>13</v>
      </c>
      <c r="K376" s="28" t="s">
        <v>504</v>
      </c>
    </row>
    <row r="377" spans="1:11" ht="30.75" customHeight="1" x14ac:dyDescent="0.25">
      <c r="A377" s="22" t="s">
        <v>44</v>
      </c>
      <c r="B377" s="28">
        <v>47633858</v>
      </c>
      <c r="C377" s="28">
        <v>47634238</v>
      </c>
      <c r="D377" s="26">
        <v>45980</v>
      </c>
      <c r="E377" s="29">
        <v>43270114</v>
      </c>
      <c r="F377" s="28" t="s">
        <v>105</v>
      </c>
      <c r="G377" s="32">
        <v>380800</v>
      </c>
      <c r="H377" s="23">
        <f t="shared" si="5"/>
        <v>133280</v>
      </c>
      <c r="I377" s="28" t="s">
        <v>11</v>
      </c>
      <c r="J377" s="13" t="s">
        <v>13</v>
      </c>
      <c r="K377" s="28" t="s">
        <v>505</v>
      </c>
    </row>
    <row r="378" spans="1:11" ht="30.75" customHeight="1" x14ac:dyDescent="0.25">
      <c r="A378" s="22" t="s">
        <v>44</v>
      </c>
      <c r="B378" s="28">
        <v>47586688</v>
      </c>
      <c r="C378" s="28">
        <v>47586743</v>
      </c>
      <c r="D378" s="26">
        <v>45980</v>
      </c>
      <c r="E378" s="29">
        <v>46665251</v>
      </c>
      <c r="F378" s="28" t="s">
        <v>106</v>
      </c>
      <c r="G378" s="32">
        <v>167750</v>
      </c>
      <c r="H378" s="23">
        <f t="shared" si="5"/>
        <v>58712.499999999993</v>
      </c>
      <c r="I378" s="28" t="s">
        <v>11</v>
      </c>
      <c r="J378" s="13" t="s">
        <v>13</v>
      </c>
      <c r="K378" s="28" t="s">
        <v>506</v>
      </c>
    </row>
    <row r="379" spans="1:11" ht="30.75" customHeight="1" x14ac:dyDescent="0.25">
      <c r="A379" s="22" t="s">
        <v>44</v>
      </c>
      <c r="B379" s="28">
        <v>47590339</v>
      </c>
      <c r="C379" s="28">
        <v>47590386</v>
      </c>
      <c r="D379" s="26">
        <v>45980</v>
      </c>
      <c r="E379" s="29">
        <v>1193230361</v>
      </c>
      <c r="F379" s="28" t="s">
        <v>53</v>
      </c>
      <c r="G379" s="32">
        <v>25000</v>
      </c>
      <c r="H379" s="23">
        <f t="shared" si="5"/>
        <v>8750</v>
      </c>
      <c r="I379" s="28" t="s">
        <v>9</v>
      </c>
      <c r="J379" s="13" t="s">
        <v>15</v>
      </c>
      <c r="K379" s="28" t="s">
        <v>507</v>
      </c>
    </row>
    <row r="380" spans="1:11" ht="30.75" customHeight="1" x14ac:dyDescent="0.25">
      <c r="A380" s="22" t="s">
        <v>44</v>
      </c>
      <c r="B380" s="28">
        <v>47590467</v>
      </c>
      <c r="C380" s="28">
        <v>47590502</v>
      </c>
      <c r="D380" s="26">
        <v>45980</v>
      </c>
      <c r="E380" s="29">
        <v>1193230361</v>
      </c>
      <c r="F380" s="28" t="s">
        <v>53</v>
      </c>
      <c r="G380" s="32">
        <v>25000</v>
      </c>
      <c r="H380" s="23">
        <f t="shared" si="5"/>
        <v>8750</v>
      </c>
      <c r="I380" s="28" t="s">
        <v>9</v>
      </c>
      <c r="J380" s="13" t="s">
        <v>15</v>
      </c>
      <c r="K380" s="28" t="s">
        <v>508</v>
      </c>
    </row>
    <row r="381" spans="1:11" ht="30.75" customHeight="1" x14ac:dyDescent="0.25">
      <c r="A381" s="22" t="s">
        <v>44</v>
      </c>
      <c r="B381" s="28">
        <v>47635956</v>
      </c>
      <c r="C381" s="28">
        <v>47635970</v>
      </c>
      <c r="D381" s="26">
        <v>45981</v>
      </c>
      <c r="E381" s="29">
        <v>85261995</v>
      </c>
      <c r="F381" s="28" t="s">
        <v>107</v>
      </c>
      <c r="G381" s="32">
        <v>25000</v>
      </c>
      <c r="H381" s="23">
        <f t="shared" si="5"/>
        <v>8750</v>
      </c>
      <c r="I381" s="28" t="s">
        <v>9</v>
      </c>
      <c r="J381" s="13" t="s">
        <v>15</v>
      </c>
      <c r="K381" s="28" t="s">
        <v>509</v>
      </c>
    </row>
    <row r="382" spans="1:11" ht="30.75" customHeight="1" x14ac:dyDescent="0.25">
      <c r="A382" s="22" t="s">
        <v>44</v>
      </c>
      <c r="B382" s="28">
        <v>47636009</v>
      </c>
      <c r="C382" s="28">
        <v>47636023</v>
      </c>
      <c r="D382" s="26">
        <v>45981</v>
      </c>
      <c r="E382" s="29">
        <v>85261995</v>
      </c>
      <c r="F382" s="28" t="s">
        <v>107</v>
      </c>
      <c r="G382" s="32">
        <v>25000</v>
      </c>
      <c r="H382" s="23">
        <f t="shared" si="5"/>
        <v>8750</v>
      </c>
      <c r="I382" s="28" t="s">
        <v>9</v>
      </c>
      <c r="J382" s="13" t="s">
        <v>15</v>
      </c>
      <c r="K382" s="28" t="s">
        <v>510</v>
      </c>
    </row>
    <row r="383" spans="1:11" ht="30.75" customHeight="1" x14ac:dyDescent="0.25">
      <c r="A383" s="22" t="s">
        <v>44</v>
      </c>
      <c r="B383" s="28">
        <v>47637886</v>
      </c>
      <c r="C383" s="28">
        <v>47637930</v>
      </c>
      <c r="D383" s="26">
        <v>45981</v>
      </c>
      <c r="E383" s="29">
        <v>51915875</v>
      </c>
      <c r="F383" s="28" t="s">
        <v>108</v>
      </c>
      <c r="G383" s="32">
        <v>476531</v>
      </c>
      <c r="H383" s="23">
        <f t="shared" si="5"/>
        <v>166785.84999999998</v>
      </c>
      <c r="I383" s="28" t="s">
        <v>11</v>
      </c>
      <c r="J383" s="13" t="s">
        <v>13</v>
      </c>
      <c r="K383" s="28" t="s">
        <v>511</v>
      </c>
    </row>
    <row r="384" spans="1:11" ht="30.75" customHeight="1" x14ac:dyDescent="0.25">
      <c r="A384" s="22" t="s">
        <v>44</v>
      </c>
      <c r="B384" s="28">
        <v>47638179</v>
      </c>
      <c r="C384" s="28">
        <v>47638206</v>
      </c>
      <c r="D384" s="26">
        <v>45981</v>
      </c>
      <c r="E384" s="29">
        <v>13954103</v>
      </c>
      <c r="F384" s="28" t="s">
        <v>31</v>
      </c>
      <c r="G384" s="32">
        <v>513858</v>
      </c>
      <c r="H384" s="23">
        <f t="shared" si="5"/>
        <v>179850.3</v>
      </c>
      <c r="I384" s="28" t="s">
        <v>11</v>
      </c>
      <c r="J384" s="13" t="s">
        <v>13</v>
      </c>
      <c r="K384" s="28" t="s">
        <v>512</v>
      </c>
    </row>
    <row r="385" spans="1:11" ht="30.75" customHeight="1" x14ac:dyDescent="0.25">
      <c r="A385" s="22" t="s">
        <v>44</v>
      </c>
      <c r="B385" s="28">
        <v>47638791</v>
      </c>
      <c r="C385" s="28">
        <v>47638829</v>
      </c>
      <c r="D385" s="26">
        <v>45981</v>
      </c>
      <c r="E385" s="29">
        <v>5824364</v>
      </c>
      <c r="F385" s="28" t="s">
        <v>109</v>
      </c>
      <c r="G385" s="32">
        <v>134996</v>
      </c>
      <c r="H385" s="23">
        <f t="shared" si="5"/>
        <v>47248.6</v>
      </c>
      <c r="I385" s="28" t="s">
        <v>11</v>
      </c>
      <c r="J385" s="13" t="s">
        <v>13</v>
      </c>
      <c r="K385" s="28" t="s">
        <v>513</v>
      </c>
    </row>
    <row r="386" spans="1:11" ht="30.75" customHeight="1" x14ac:dyDescent="0.25">
      <c r="A386" s="22" t="s">
        <v>44</v>
      </c>
      <c r="B386" s="28">
        <v>47640315</v>
      </c>
      <c r="C386" s="28">
        <v>47640415</v>
      </c>
      <c r="D386" s="26">
        <v>45981</v>
      </c>
      <c r="E386" s="29">
        <v>32206718</v>
      </c>
      <c r="F386" s="28" t="s">
        <v>110</v>
      </c>
      <c r="G386" s="32">
        <v>324566</v>
      </c>
      <c r="H386" s="23">
        <f t="shared" si="5"/>
        <v>113598.09999999999</v>
      </c>
      <c r="I386" s="28" t="s">
        <v>11</v>
      </c>
      <c r="J386" s="13" t="s">
        <v>13</v>
      </c>
      <c r="K386" s="28" t="s">
        <v>514</v>
      </c>
    </row>
    <row r="387" spans="1:11" ht="30.75" customHeight="1" x14ac:dyDescent="0.25">
      <c r="A387" s="22" t="s">
        <v>44</v>
      </c>
      <c r="B387" s="28">
        <v>47642075</v>
      </c>
      <c r="C387" s="28">
        <v>47642146</v>
      </c>
      <c r="D387" s="26">
        <v>45981</v>
      </c>
      <c r="E387" s="29">
        <v>39716462</v>
      </c>
      <c r="F387" s="28" t="s">
        <v>111</v>
      </c>
      <c r="G387" s="32">
        <v>135950</v>
      </c>
      <c r="H387" s="23">
        <f t="shared" si="5"/>
        <v>47582.5</v>
      </c>
      <c r="I387" s="28" t="s">
        <v>11</v>
      </c>
      <c r="J387" s="13" t="s">
        <v>13</v>
      </c>
      <c r="K387" s="28" t="s">
        <v>515</v>
      </c>
    </row>
    <row r="388" spans="1:11" ht="30.75" customHeight="1" x14ac:dyDescent="0.25">
      <c r="A388" s="22" t="s">
        <v>44</v>
      </c>
      <c r="B388" s="28">
        <v>47627942</v>
      </c>
      <c r="C388" s="28">
        <v>47627951</v>
      </c>
      <c r="D388" s="26">
        <v>45980</v>
      </c>
      <c r="E388" s="29">
        <v>1084731415</v>
      </c>
      <c r="F388" s="28" t="s">
        <v>112</v>
      </c>
      <c r="G388" s="32">
        <v>50000</v>
      </c>
      <c r="H388" s="23">
        <f t="shared" si="5"/>
        <v>17500</v>
      </c>
      <c r="I388" s="28" t="s">
        <v>10</v>
      </c>
      <c r="J388" s="13" t="s">
        <v>26</v>
      </c>
      <c r="K388" s="28" t="s">
        <v>516</v>
      </c>
    </row>
    <row r="389" spans="1:11" ht="30.75" customHeight="1" x14ac:dyDescent="0.25">
      <c r="A389" s="22" t="s">
        <v>44</v>
      </c>
      <c r="B389" s="28">
        <v>47628048</v>
      </c>
      <c r="C389" s="28">
        <v>47628057</v>
      </c>
      <c r="D389" s="26">
        <v>45980</v>
      </c>
      <c r="E389" s="29">
        <v>1084731415</v>
      </c>
      <c r="F389" s="28" t="s">
        <v>112</v>
      </c>
      <c r="G389" s="32">
        <v>50000</v>
      </c>
      <c r="H389" s="23">
        <f t="shared" ref="H389:H452" si="6">+G389*35%</f>
        <v>17500</v>
      </c>
      <c r="I389" s="28" t="s">
        <v>10</v>
      </c>
      <c r="J389" s="13" t="s">
        <v>26</v>
      </c>
      <c r="K389" s="28" t="s">
        <v>517</v>
      </c>
    </row>
    <row r="390" spans="1:11" ht="30.75" customHeight="1" x14ac:dyDescent="0.25">
      <c r="A390" s="22" t="s">
        <v>44</v>
      </c>
      <c r="B390" s="28">
        <v>47643376</v>
      </c>
      <c r="C390" s="28">
        <v>47643395</v>
      </c>
      <c r="D390" s="26">
        <v>45981</v>
      </c>
      <c r="E390" s="29">
        <v>13078640</v>
      </c>
      <c r="F390" s="28" t="s">
        <v>113</v>
      </c>
      <c r="G390" s="32">
        <v>110000</v>
      </c>
      <c r="H390" s="23">
        <f t="shared" si="6"/>
        <v>38500</v>
      </c>
      <c r="I390" s="28" t="s">
        <v>10</v>
      </c>
      <c r="J390" s="13" t="s">
        <v>26</v>
      </c>
      <c r="K390" s="28" t="s">
        <v>518</v>
      </c>
    </row>
    <row r="391" spans="1:11" ht="30.75" customHeight="1" x14ac:dyDescent="0.25">
      <c r="A391" s="22" t="s">
        <v>44</v>
      </c>
      <c r="B391" s="28">
        <v>47643552</v>
      </c>
      <c r="C391" s="28">
        <v>47643562</v>
      </c>
      <c r="D391" s="26">
        <v>45981</v>
      </c>
      <c r="E391" s="29">
        <v>13078640</v>
      </c>
      <c r="F391" s="28" t="s">
        <v>113</v>
      </c>
      <c r="G391" s="32">
        <v>110000</v>
      </c>
      <c r="H391" s="23">
        <f t="shared" si="6"/>
        <v>38500</v>
      </c>
      <c r="I391" s="28" t="s">
        <v>10</v>
      </c>
      <c r="J391" s="13" t="s">
        <v>26</v>
      </c>
      <c r="K391" s="28" t="s">
        <v>519</v>
      </c>
    </row>
    <row r="392" spans="1:11" ht="30.75" customHeight="1" x14ac:dyDescent="0.25">
      <c r="A392" s="22" t="s">
        <v>44</v>
      </c>
      <c r="B392" s="28">
        <v>47650928</v>
      </c>
      <c r="C392" s="28">
        <v>47650935</v>
      </c>
      <c r="D392" s="26">
        <v>45982</v>
      </c>
      <c r="E392" s="29">
        <v>85458421</v>
      </c>
      <c r="F392" s="28" t="s">
        <v>25</v>
      </c>
      <c r="G392" s="32">
        <v>25000</v>
      </c>
      <c r="H392" s="23">
        <f t="shared" si="6"/>
        <v>8750</v>
      </c>
      <c r="I392" s="28" t="s">
        <v>9</v>
      </c>
      <c r="J392" s="13" t="s">
        <v>15</v>
      </c>
      <c r="K392" s="28" t="s">
        <v>520</v>
      </c>
    </row>
    <row r="393" spans="1:11" ht="30.75" customHeight="1" x14ac:dyDescent="0.25">
      <c r="A393" s="22" t="s">
        <v>44</v>
      </c>
      <c r="B393" s="28">
        <v>47650931</v>
      </c>
      <c r="C393" s="28">
        <v>47650940</v>
      </c>
      <c r="D393" s="26">
        <v>45982</v>
      </c>
      <c r="E393" s="29">
        <v>85458421</v>
      </c>
      <c r="F393" s="28" t="s">
        <v>25</v>
      </c>
      <c r="G393" s="32">
        <v>25000</v>
      </c>
      <c r="H393" s="23">
        <f t="shared" si="6"/>
        <v>8750</v>
      </c>
      <c r="I393" s="28" t="s">
        <v>9</v>
      </c>
      <c r="J393" s="13" t="s">
        <v>15</v>
      </c>
      <c r="K393" s="28" t="s">
        <v>521</v>
      </c>
    </row>
    <row r="394" spans="1:11" ht="30.75" customHeight="1" x14ac:dyDescent="0.25">
      <c r="A394" s="22" t="s">
        <v>44</v>
      </c>
      <c r="B394" s="28">
        <v>47651031</v>
      </c>
      <c r="C394" s="28">
        <v>47651038</v>
      </c>
      <c r="D394" s="26">
        <v>45982</v>
      </c>
      <c r="E394" s="29">
        <v>85458421</v>
      </c>
      <c r="F394" s="28" t="s">
        <v>25</v>
      </c>
      <c r="G394" s="32">
        <v>25000</v>
      </c>
      <c r="H394" s="23">
        <f t="shared" si="6"/>
        <v>8750</v>
      </c>
      <c r="I394" s="28" t="s">
        <v>9</v>
      </c>
      <c r="J394" s="13" t="s">
        <v>15</v>
      </c>
      <c r="K394" s="28" t="s">
        <v>522</v>
      </c>
    </row>
    <row r="395" spans="1:11" ht="30.75" customHeight="1" x14ac:dyDescent="0.25">
      <c r="A395" s="22" t="s">
        <v>44</v>
      </c>
      <c r="B395" s="28">
        <v>47651034</v>
      </c>
      <c r="C395" s="28">
        <v>47651042</v>
      </c>
      <c r="D395" s="26">
        <v>45982</v>
      </c>
      <c r="E395" s="29">
        <v>85458421</v>
      </c>
      <c r="F395" s="28" t="s">
        <v>25</v>
      </c>
      <c r="G395" s="32">
        <v>25000</v>
      </c>
      <c r="H395" s="23">
        <f t="shared" si="6"/>
        <v>8750</v>
      </c>
      <c r="I395" s="28" t="s">
        <v>9</v>
      </c>
      <c r="J395" s="13" t="s">
        <v>15</v>
      </c>
      <c r="K395" s="28" t="s">
        <v>523</v>
      </c>
    </row>
    <row r="396" spans="1:11" ht="30.75" customHeight="1" x14ac:dyDescent="0.25">
      <c r="A396" s="22" t="s">
        <v>44</v>
      </c>
      <c r="B396" s="28">
        <v>47633919</v>
      </c>
      <c r="C396" s="28">
        <v>47633955</v>
      </c>
      <c r="D396" s="26">
        <v>45981</v>
      </c>
      <c r="E396" s="29">
        <v>85260647</v>
      </c>
      <c r="F396" s="28" t="s">
        <v>30</v>
      </c>
      <c r="G396" s="32">
        <v>25000</v>
      </c>
      <c r="H396" s="23">
        <f t="shared" si="6"/>
        <v>8750</v>
      </c>
      <c r="I396" s="28" t="s">
        <v>9</v>
      </c>
      <c r="J396" s="13" t="s">
        <v>15</v>
      </c>
      <c r="K396" s="28" t="s">
        <v>524</v>
      </c>
    </row>
    <row r="397" spans="1:11" ht="30.75" customHeight="1" x14ac:dyDescent="0.25">
      <c r="A397" s="22" t="s">
        <v>44</v>
      </c>
      <c r="B397" s="28">
        <v>47633941</v>
      </c>
      <c r="C397" s="28">
        <v>47633979</v>
      </c>
      <c r="D397" s="26">
        <v>45981</v>
      </c>
      <c r="E397" s="29">
        <v>85260647</v>
      </c>
      <c r="F397" s="28" t="s">
        <v>30</v>
      </c>
      <c r="G397" s="32">
        <v>25000</v>
      </c>
      <c r="H397" s="23">
        <f t="shared" si="6"/>
        <v>8750</v>
      </c>
      <c r="I397" s="28" t="s">
        <v>9</v>
      </c>
      <c r="J397" s="13" t="s">
        <v>15</v>
      </c>
      <c r="K397" s="28" t="s">
        <v>525</v>
      </c>
    </row>
    <row r="398" spans="1:11" ht="30.75" customHeight="1" x14ac:dyDescent="0.25">
      <c r="A398" s="22" t="s">
        <v>44</v>
      </c>
      <c r="B398" s="28">
        <v>47650829</v>
      </c>
      <c r="C398" s="28">
        <v>47650839</v>
      </c>
      <c r="D398" s="26">
        <v>45982</v>
      </c>
      <c r="E398" s="29">
        <v>7699102</v>
      </c>
      <c r="F398" s="28" t="s">
        <v>68</v>
      </c>
      <c r="G398" s="32">
        <v>90000</v>
      </c>
      <c r="H398" s="23">
        <f t="shared" si="6"/>
        <v>31499.999999999996</v>
      </c>
      <c r="I398" s="28" t="s">
        <v>10</v>
      </c>
      <c r="J398" s="13" t="s">
        <v>26</v>
      </c>
      <c r="K398" s="28" t="s">
        <v>526</v>
      </c>
    </row>
    <row r="399" spans="1:11" ht="30.75" customHeight="1" x14ac:dyDescent="0.25">
      <c r="A399" s="22" t="s">
        <v>44</v>
      </c>
      <c r="B399" s="28">
        <v>47650870</v>
      </c>
      <c r="C399" s="28">
        <v>47650875</v>
      </c>
      <c r="D399" s="26">
        <v>45982</v>
      </c>
      <c r="E399" s="29">
        <v>7699102</v>
      </c>
      <c r="F399" s="28" t="s">
        <v>68</v>
      </c>
      <c r="G399" s="32">
        <v>90000</v>
      </c>
      <c r="H399" s="23">
        <f t="shared" si="6"/>
        <v>31499.999999999996</v>
      </c>
      <c r="I399" s="28" t="s">
        <v>10</v>
      </c>
      <c r="J399" s="13" t="s">
        <v>26</v>
      </c>
      <c r="K399" s="28" t="s">
        <v>527</v>
      </c>
    </row>
    <row r="400" spans="1:11" ht="30.75" customHeight="1" x14ac:dyDescent="0.25">
      <c r="A400" s="22" t="s">
        <v>44</v>
      </c>
      <c r="B400" s="28">
        <v>47638796</v>
      </c>
      <c r="C400" s="28">
        <v>47650675</v>
      </c>
      <c r="D400" s="26">
        <v>45983</v>
      </c>
      <c r="E400" s="29">
        <v>11808411</v>
      </c>
      <c r="F400" s="28" t="s">
        <v>114</v>
      </c>
      <c r="G400" s="32">
        <v>107185</v>
      </c>
      <c r="H400" s="23">
        <f t="shared" si="6"/>
        <v>37514.75</v>
      </c>
      <c r="I400" s="28" t="s">
        <v>11</v>
      </c>
      <c r="J400" s="13" t="s">
        <v>13</v>
      </c>
      <c r="K400" s="28" t="s">
        <v>528</v>
      </c>
    </row>
    <row r="401" spans="1:11" ht="30.75" customHeight="1" x14ac:dyDescent="0.25">
      <c r="A401" s="22" t="s">
        <v>44</v>
      </c>
      <c r="B401" s="28">
        <v>47673856</v>
      </c>
      <c r="C401" s="28">
        <v>47674580</v>
      </c>
      <c r="D401" s="26">
        <v>45985</v>
      </c>
      <c r="E401" s="29">
        <v>76317199</v>
      </c>
      <c r="F401" s="28" t="s">
        <v>56</v>
      </c>
      <c r="G401" s="32">
        <v>159800</v>
      </c>
      <c r="H401" s="23">
        <f t="shared" si="6"/>
        <v>55930</v>
      </c>
      <c r="I401" s="28" t="s">
        <v>11</v>
      </c>
      <c r="J401" s="13" t="s">
        <v>13</v>
      </c>
      <c r="K401" s="28" t="s">
        <v>529</v>
      </c>
    </row>
    <row r="402" spans="1:11" ht="30.75" customHeight="1" x14ac:dyDescent="0.25">
      <c r="A402" s="22" t="s">
        <v>44</v>
      </c>
      <c r="B402" s="28">
        <v>47675460</v>
      </c>
      <c r="C402" s="28">
        <v>47675860</v>
      </c>
      <c r="D402" s="26">
        <v>45985</v>
      </c>
      <c r="E402" s="29">
        <v>1118559410</v>
      </c>
      <c r="F402" s="28" t="s">
        <v>115</v>
      </c>
      <c r="G402" s="32">
        <v>238400</v>
      </c>
      <c r="H402" s="23">
        <f t="shared" si="6"/>
        <v>83440</v>
      </c>
      <c r="I402" s="28" t="s">
        <v>11</v>
      </c>
      <c r="J402" s="13" t="s">
        <v>13</v>
      </c>
      <c r="K402" s="28" t="s">
        <v>530</v>
      </c>
    </row>
    <row r="403" spans="1:11" ht="30.75" customHeight="1" x14ac:dyDescent="0.25">
      <c r="A403" s="22" t="s">
        <v>44</v>
      </c>
      <c r="B403" s="28">
        <v>47675233</v>
      </c>
      <c r="C403" s="28">
        <v>47675340</v>
      </c>
      <c r="D403" s="26">
        <v>45985</v>
      </c>
      <c r="E403" s="29">
        <v>31203151</v>
      </c>
      <c r="F403" s="28" t="s">
        <v>116</v>
      </c>
      <c r="G403" s="32">
        <v>54328</v>
      </c>
      <c r="H403" s="23">
        <f t="shared" si="6"/>
        <v>19014.8</v>
      </c>
      <c r="I403" s="28" t="s">
        <v>11</v>
      </c>
      <c r="J403" s="13" t="s">
        <v>13</v>
      </c>
      <c r="K403" s="28" t="s">
        <v>531</v>
      </c>
    </row>
    <row r="404" spans="1:11" ht="30.75" customHeight="1" x14ac:dyDescent="0.25">
      <c r="A404" s="22" t="s">
        <v>44</v>
      </c>
      <c r="B404" s="28">
        <v>47664259</v>
      </c>
      <c r="C404" s="28">
        <v>47664287</v>
      </c>
      <c r="D404" s="26">
        <v>45985</v>
      </c>
      <c r="E404" s="29">
        <v>85458421</v>
      </c>
      <c r="F404" s="28" t="s">
        <v>25</v>
      </c>
      <c r="G404" s="32">
        <v>25000</v>
      </c>
      <c r="H404" s="23">
        <f t="shared" si="6"/>
        <v>8750</v>
      </c>
      <c r="I404" s="28" t="s">
        <v>9</v>
      </c>
      <c r="J404" s="13" t="s">
        <v>15</v>
      </c>
      <c r="K404" s="28" t="s">
        <v>532</v>
      </c>
    </row>
    <row r="405" spans="1:11" ht="30.75" customHeight="1" x14ac:dyDescent="0.25">
      <c r="A405" s="22" t="s">
        <v>44</v>
      </c>
      <c r="B405" s="28">
        <v>47664267</v>
      </c>
      <c r="C405" s="28">
        <v>47664290</v>
      </c>
      <c r="D405" s="26">
        <v>45985</v>
      </c>
      <c r="E405" s="29">
        <v>85458421</v>
      </c>
      <c r="F405" s="28" t="s">
        <v>25</v>
      </c>
      <c r="G405" s="32">
        <v>25000</v>
      </c>
      <c r="H405" s="23">
        <f t="shared" si="6"/>
        <v>8750</v>
      </c>
      <c r="I405" s="28" t="s">
        <v>9</v>
      </c>
      <c r="J405" s="13" t="s">
        <v>15</v>
      </c>
      <c r="K405" s="28" t="s">
        <v>533</v>
      </c>
    </row>
    <row r="406" spans="1:11" ht="30.75" customHeight="1" x14ac:dyDescent="0.25">
      <c r="A406" s="22" t="s">
        <v>44</v>
      </c>
      <c r="B406" s="28">
        <v>47664339</v>
      </c>
      <c r="C406" s="28">
        <v>47664369</v>
      </c>
      <c r="D406" s="26">
        <v>45985</v>
      </c>
      <c r="E406" s="29">
        <v>85458421</v>
      </c>
      <c r="F406" s="28" t="s">
        <v>25</v>
      </c>
      <c r="G406" s="32">
        <v>25000</v>
      </c>
      <c r="H406" s="23">
        <f t="shared" si="6"/>
        <v>8750</v>
      </c>
      <c r="I406" s="28" t="s">
        <v>9</v>
      </c>
      <c r="J406" s="13" t="s">
        <v>15</v>
      </c>
      <c r="K406" s="28" t="s">
        <v>534</v>
      </c>
    </row>
    <row r="407" spans="1:11" ht="30.75" customHeight="1" x14ac:dyDescent="0.25">
      <c r="A407" s="22" t="s">
        <v>44</v>
      </c>
      <c r="B407" s="28">
        <v>47664356</v>
      </c>
      <c r="C407" s="28">
        <v>47664373</v>
      </c>
      <c r="D407" s="26">
        <v>45985</v>
      </c>
      <c r="E407" s="29">
        <v>85458421</v>
      </c>
      <c r="F407" s="28" t="s">
        <v>25</v>
      </c>
      <c r="G407" s="32">
        <v>25000</v>
      </c>
      <c r="H407" s="23">
        <f t="shared" si="6"/>
        <v>8750</v>
      </c>
      <c r="I407" s="28" t="s">
        <v>9</v>
      </c>
      <c r="J407" s="13" t="s">
        <v>15</v>
      </c>
      <c r="K407" s="28" t="s">
        <v>535</v>
      </c>
    </row>
    <row r="408" spans="1:11" ht="30.75" customHeight="1" x14ac:dyDescent="0.25">
      <c r="A408" s="22" t="s">
        <v>44</v>
      </c>
      <c r="B408" s="28">
        <v>47664406</v>
      </c>
      <c r="C408" s="28">
        <v>47664425</v>
      </c>
      <c r="D408" s="26">
        <v>45985</v>
      </c>
      <c r="E408" s="29">
        <v>85458421</v>
      </c>
      <c r="F408" s="28" t="s">
        <v>25</v>
      </c>
      <c r="G408" s="32">
        <v>25000</v>
      </c>
      <c r="H408" s="23">
        <f t="shared" si="6"/>
        <v>8750</v>
      </c>
      <c r="I408" s="28" t="s">
        <v>9</v>
      </c>
      <c r="J408" s="13" t="s">
        <v>15</v>
      </c>
      <c r="K408" s="28" t="s">
        <v>536</v>
      </c>
    </row>
    <row r="409" spans="1:11" ht="30.75" customHeight="1" x14ac:dyDescent="0.25">
      <c r="A409" s="22" t="s">
        <v>44</v>
      </c>
      <c r="B409" s="28">
        <v>47664414</v>
      </c>
      <c r="C409" s="28">
        <v>47664429</v>
      </c>
      <c r="D409" s="26">
        <v>45985</v>
      </c>
      <c r="E409" s="29">
        <v>85458421</v>
      </c>
      <c r="F409" s="28" t="s">
        <v>25</v>
      </c>
      <c r="G409" s="32">
        <v>25000</v>
      </c>
      <c r="H409" s="23">
        <f t="shared" si="6"/>
        <v>8750</v>
      </c>
      <c r="I409" s="28" t="s">
        <v>9</v>
      </c>
      <c r="J409" s="13" t="s">
        <v>15</v>
      </c>
      <c r="K409" s="28" t="s">
        <v>537</v>
      </c>
    </row>
    <row r="410" spans="1:11" ht="30.75" customHeight="1" x14ac:dyDescent="0.25">
      <c r="A410" s="22" t="s">
        <v>44</v>
      </c>
      <c r="B410" s="28">
        <v>47668187</v>
      </c>
      <c r="C410" s="28">
        <v>47668194</v>
      </c>
      <c r="D410" s="26">
        <v>45985</v>
      </c>
      <c r="E410" s="29">
        <v>1083469578</v>
      </c>
      <c r="F410" s="28" t="s">
        <v>87</v>
      </c>
      <c r="G410" s="32">
        <v>25000</v>
      </c>
      <c r="H410" s="23">
        <f t="shared" si="6"/>
        <v>8750</v>
      </c>
      <c r="I410" s="28" t="s">
        <v>9</v>
      </c>
      <c r="J410" s="13" t="s">
        <v>15</v>
      </c>
      <c r="K410" s="28" t="s">
        <v>538</v>
      </c>
    </row>
    <row r="411" spans="1:11" ht="30.75" customHeight="1" x14ac:dyDescent="0.25">
      <c r="A411" s="22" t="s">
        <v>44</v>
      </c>
      <c r="B411" s="28">
        <v>47668287</v>
      </c>
      <c r="C411" s="28">
        <v>47668315</v>
      </c>
      <c r="D411" s="26">
        <v>45985</v>
      </c>
      <c r="E411" s="29">
        <v>1083469578</v>
      </c>
      <c r="F411" s="28" t="s">
        <v>87</v>
      </c>
      <c r="G411" s="32">
        <v>25000</v>
      </c>
      <c r="H411" s="23">
        <f t="shared" si="6"/>
        <v>8750</v>
      </c>
      <c r="I411" s="28" t="s">
        <v>9</v>
      </c>
      <c r="J411" s="13" t="s">
        <v>15</v>
      </c>
      <c r="K411" s="28" t="s">
        <v>539</v>
      </c>
    </row>
    <row r="412" spans="1:11" ht="30.75" customHeight="1" x14ac:dyDescent="0.25">
      <c r="A412" s="22" t="s">
        <v>44</v>
      </c>
      <c r="B412" s="28">
        <v>47668188</v>
      </c>
      <c r="C412" s="28">
        <v>47668206</v>
      </c>
      <c r="D412" s="26">
        <v>45985</v>
      </c>
      <c r="E412" s="29">
        <v>1083469578</v>
      </c>
      <c r="F412" s="28" t="s">
        <v>87</v>
      </c>
      <c r="G412" s="32">
        <v>25000</v>
      </c>
      <c r="H412" s="23">
        <f t="shared" si="6"/>
        <v>8750</v>
      </c>
      <c r="I412" s="28" t="s">
        <v>9</v>
      </c>
      <c r="J412" s="13" t="s">
        <v>15</v>
      </c>
      <c r="K412" s="28" t="s">
        <v>540</v>
      </c>
    </row>
    <row r="413" spans="1:11" ht="30.75" customHeight="1" x14ac:dyDescent="0.25">
      <c r="A413" s="22" t="s">
        <v>44</v>
      </c>
      <c r="B413" s="28">
        <v>47668288</v>
      </c>
      <c r="C413" s="28">
        <v>47668319</v>
      </c>
      <c r="D413" s="26">
        <v>45985</v>
      </c>
      <c r="E413" s="29">
        <v>1083469578</v>
      </c>
      <c r="F413" s="28" t="s">
        <v>87</v>
      </c>
      <c r="G413" s="32">
        <v>25000</v>
      </c>
      <c r="H413" s="23">
        <f t="shared" si="6"/>
        <v>8750</v>
      </c>
      <c r="I413" s="28" t="s">
        <v>9</v>
      </c>
      <c r="J413" s="13" t="s">
        <v>15</v>
      </c>
      <c r="K413" s="28" t="s">
        <v>541</v>
      </c>
    </row>
    <row r="414" spans="1:11" ht="30.75" customHeight="1" x14ac:dyDescent="0.25">
      <c r="A414" s="22" t="s">
        <v>44</v>
      </c>
      <c r="B414" s="28">
        <v>47668189</v>
      </c>
      <c r="C414" s="28">
        <v>47668211</v>
      </c>
      <c r="D414" s="26">
        <v>45985</v>
      </c>
      <c r="E414" s="29">
        <v>1083469578</v>
      </c>
      <c r="F414" s="28" t="s">
        <v>87</v>
      </c>
      <c r="G414" s="32">
        <v>25000</v>
      </c>
      <c r="H414" s="23">
        <f t="shared" si="6"/>
        <v>8750</v>
      </c>
      <c r="I414" s="28" t="s">
        <v>9</v>
      </c>
      <c r="J414" s="13" t="s">
        <v>15</v>
      </c>
      <c r="K414" s="28" t="s">
        <v>542</v>
      </c>
    </row>
    <row r="415" spans="1:11" ht="30.75" customHeight="1" x14ac:dyDescent="0.25">
      <c r="A415" s="22" t="s">
        <v>44</v>
      </c>
      <c r="B415" s="28">
        <v>47668289</v>
      </c>
      <c r="C415" s="28">
        <v>47668321</v>
      </c>
      <c r="D415" s="26">
        <v>45985</v>
      </c>
      <c r="E415" s="29">
        <v>1083469578</v>
      </c>
      <c r="F415" s="28" t="s">
        <v>87</v>
      </c>
      <c r="G415" s="32">
        <v>25000</v>
      </c>
      <c r="H415" s="23">
        <f t="shared" si="6"/>
        <v>8750</v>
      </c>
      <c r="I415" s="28" t="s">
        <v>9</v>
      </c>
      <c r="J415" s="13" t="s">
        <v>15</v>
      </c>
      <c r="K415" s="28" t="s">
        <v>543</v>
      </c>
    </row>
    <row r="416" spans="1:11" ht="30.75" customHeight="1" x14ac:dyDescent="0.25">
      <c r="A416" s="22" t="s">
        <v>44</v>
      </c>
      <c r="B416" s="28">
        <v>47668190</v>
      </c>
      <c r="C416" s="28">
        <v>47668222</v>
      </c>
      <c r="D416" s="26">
        <v>45985</v>
      </c>
      <c r="E416" s="29">
        <v>1083469578</v>
      </c>
      <c r="F416" s="28" t="s">
        <v>87</v>
      </c>
      <c r="G416" s="32">
        <v>25000</v>
      </c>
      <c r="H416" s="23">
        <f t="shared" si="6"/>
        <v>8750</v>
      </c>
      <c r="I416" s="28" t="s">
        <v>9</v>
      </c>
      <c r="J416" s="13" t="s">
        <v>15</v>
      </c>
      <c r="K416" s="28" t="s">
        <v>544</v>
      </c>
    </row>
    <row r="417" spans="1:11" ht="30.75" customHeight="1" x14ac:dyDescent="0.25">
      <c r="A417" s="22" t="s">
        <v>44</v>
      </c>
      <c r="B417" s="28">
        <v>47668290</v>
      </c>
      <c r="C417" s="28">
        <v>47668323</v>
      </c>
      <c r="D417" s="26">
        <v>45985</v>
      </c>
      <c r="E417" s="29">
        <v>1083469578</v>
      </c>
      <c r="F417" s="28" t="s">
        <v>87</v>
      </c>
      <c r="G417" s="32">
        <v>25000</v>
      </c>
      <c r="H417" s="23">
        <f t="shared" si="6"/>
        <v>8750</v>
      </c>
      <c r="I417" s="28" t="s">
        <v>9</v>
      </c>
      <c r="J417" s="13" t="s">
        <v>15</v>
      </c>
      <c r="K417" s="28" t="s">
        <v>545</v>
      </c>
    </row>
    <row r="418" spans="1:11" ht="30.75" customHeight="1" x14ac:dyDescent="0.25">
      <c r="A418" s="22" t="s">
        <v>44</v>
      </c>
      <c r="B418" s="28">
        <v>47668191</v>
      </c>
      <c r="C418" s="28">
        <v>47668225</v>
      </c>
      <c r="D418" s="26">
        <v>45985</v>
      </c>
      <c r="E418" s="29">
        <v>1083469578</v>
      </c>
      <c r="F418" s="28" t="s">
        <v>87</v>
      </c>
      <c r="G418" s="32">
        <v>25000</v>
      </c>
      <c r="H418" s="23">
        <f t="shared" si="6"/>
        <v>8750</v>
      </c>
      <c r="I418" s="28" t="s">
        <v>9</v>
      </c>
      <c r="J418" s="13" t="s">
        <v>15</v>
      </c>
      <c r="K418" s="28" t="s">
        <v>546</v>
      </c>
    </row>
    <row r="419" spans="1:11" ht="30.75" customHeight="1" x14ac:dyDescent="0.25">
      <c r="A419" s="22" t="s">
        <v>44</v>
      </c>
      <c r="B419" s="28">
        <v>47668291</v>
      </c>
      <c r="C419" s="28">
        <v>47668330</v>
      </c>
      <c r="D419" s="26">
        <v>45985</v>
      </c>
      <c r="E419" s="29">
        <v>1083469578</v>
      </c>
      <c r="F419" s="28" t="s">
        <v>87</v>
      </c>
      <c r="G419" s="32">
        <v>25000</v>
      </c>
      <c r="H419" s="23">
        <f t="shared" si="6"/>
        <v>8750</v>
      </c>
      <c r="I419" s="28" t="s">
        <v>9</v>
      </c>
      <c r="J419" s="13" t="s">
        <v>15</v>
      </c>
      <c r="K419" s="28" t="s">
        <v>547</v>
      </c>
    </row>
    <row r="420" spans="1:11" ht="30.75" customHeight="1" x14ac:dyDescent="0.25">
      <c r="A420" s="22" t="s">
        <v>44</v>
      </c>
      <c r="B420" s="28">
        <v>47669939</v>
      </c>
      <c r="C420" s="28">
        <v>47669944</v>
      </c>
      <c r="D420" s="26">
        <v>45985</v>
      </c>
      <c r="E420" s="29">
        <v>1193230361</v>
      </c>
      <c r="F420" s="28" t="s">
        <v>53</v>
      </c>
      <c r="G420" s="32">
        <v>25000</v>
      </c>
      <c r="H420" s="23">
        <f t="shared" si="6"/>
        <v>8750</v>
      </c>
      <c r="I420" s="28" t="s">
        <v>9</v>
      </c>
      <c r="J420" s="13" t="s">
        <v>15</v>
      </c>
      <c r="K420" s="28" t="s">
        <v>548</v>
      </c>
    </row>
    <row r="421" spans="1:11" ht="30.75" customHeight="1" x14ac:dyDescent="0.25">
      <c r="A421" s="22" t="s">
        <v>44</v>
      </c>
      <c r="B421" s="28">
        <v>47669956</v>
      </c>
      <c r="C421" s="28">
        <v>47669959</v>
      </c>
      <c r="D421" s="26">
        <v>45985</v>
      </c>
      <c r="E421" s="29">
        <v>1193230361</v>
      </c>
      <c r="F421" s="28" t="s">
        <v>53</v>
      </c>
      <c r="G421" s="32">
        <v>25000</v>
      </c>
      <c r="H421" s="23">
        <f t="shared" si="6"/>
        <v>8750</v>
      </c>
      <c r="I421" s="28" t="s">
        <v>9</v>
      </c>
      <c r="J421" s="13" t="s">
        <v>15</v>
      </c>
      <c r="K421" s="28" t="s">
        <v>549</v>
      </c>
    </row>
    <row r="422" spans="1:11" ht="30.75" customHeight="1" x14ac:dyDescent="0.25">
      <c r="A422" s="22" t="s">
        <v>44</v>
      </c>
      <c r="B422" s="28">
        <v>47669970</v>
      </c>
      <c r="C422" s="28">
        <v>47669972</v>
      </c>
      <c r="D422" s="26">
        <v>45985</v>
      </c>
      <c r="E422" s="29">
        <v>1193230361</v>
      </c>
      <c r="F422" s="28" t="s">
        <v>53</v>
      </c>
      <c r="G422" s="32">
        <v>25000</v>
      </c>
      <c r="H422" s="23">
        <f t="shared" si="6"/>
        <v>8750</v>
      </c>
      <c r="I422" s="28" t="s">
        <v>9</v>
      </c>
      <c r="J422" s="13" t="s">
        <v>15</v>
      </c>
      <c r="K422" s="28" t="s">
        <v>550</v>
      </c>
    </row>
    <row r="423" spans="1:11" ht="30.75" customHeight="1" x14ac:dyDescent="0.25">
      <c r="A423" s="22" t="s">
        <v>44</v>
      </c>
      <c r="B423" s="28">
        <v>47669973</v>
      </c>
      <c r="C423" s="28">
        <v>47669975</v>
      </c>
      <c r="D423" s="26">
        <v>45985</v>
      </c>
      <c r="E423" s="29">
        <v>1193230361</v>
      </c>
      <c r="F423" s="28" t="s">
        <v>53</v>
      </c>
      <c r="G423" s="32">
        <v>25000</v>
      </c>
      <c r="H423" s="23">
        <f t="shared" si="6"/>
        <v>8750</v>
      </c>
      <c r="I423" s="28" t="s">
        <v>9</v>
      </c>
      <c r="J423" s="13" t="s">
        <v>15</v>
      </c>
      <c r="K423" s="28" t="s">
        <v>551</v>
      </c>
    </row>
    <row r="424" spans="1:11" ht="30.75" customHeight="1" x14ac:dyDescent="0.25">
      <c r="A424" s="22" t="s">
        <v>44</v>
      </c>
      <c r="B424" s="28">
        <v>47670895</v>
      </c>
      <c r="C424" s="28">
        <v>47670900</v>
      </c>
      <c r="D424" s="26">
        <v>45985</v>
      </c>
      <c r="E424" s="29">
        <v>12633727</v>
      </c>
      <c r="F424" s="28" t="s">
        <v>117</v>
      </c>
      <c r="G424" s="32">
        <v>25000</v>
      </c>
      <c r="H424" s="23">
        <f t="shared" si="6"/>
        <v>8750</v>
      </c>
      <c r="I424" s="28" t="s">
        <v>9</v>
      </c>
      <c r="J424" s="13" t="s">
        <v>15</v>
      </c>
      <c r="K424" s="28" t="s">
        <v>552</v>
      </c>
    </row>
    <row r="425" spans="1:11" ht="30.75" customHeight="1" x14ac:dyDescent="0.25">
      <c r="A425" s="22" t="s">
        <v>44</v>
      </c>
      <c r="B425" s="28">
        <v>47670912</v>
      </c>
      <c r="C425" s="28">
        <v>47670915</v>
      </c>
      <c r="D425" s="26">
        <v>45985</v>
      </c>
      <c r="E425" s="29">
        <v>12633727</v>
      </c>
      <c r="F425" s="28" t="s">
        <v>117</v>
      </c>
      <c r="G425" s="32">
        <v>25000</v>
      </c>
      <c r="H425" s="23">
        <f t="shared" si="6"/>
        <v>8750</v>
      </c>
      <c r="I425" s="28" t="s">
        <v>9</v>
      </c>
      <c r="J425" s="13" t="s">
        <v>15</v>
      </c>
      <c r="K425" s="28" t="s">
        <v>553</v>
      </c>
    </row>
    <row r="426" spans="1:11" ht="30.75" customHeight="1" x14ac:dyDescent="0.25">
      <c r="A426" s="22" t="s">
        <v>44</v>
      </c>
      <c r="B426" s="28">
        <v>47670934</v>
      </c>
      <c r="C426" s="28">
        <v>47670936</v>
      </c>
      <c r="D426" s="26">
        <v>45985</v>
      </c>
      <c r="E426" s="29">
        <v>12633727</v>
      </c>
      <c r="F426" s="28" t="s">
        <v>117</v>
      </c>
      <c r="G426" s="32">
        <v>25000</v>
      </c>
      <c r="H426" s="23">
        <f t="shared" si="6"/>
        <v>8750</v>
      </c>
      <c r="I426" s="28" t="s">
        <v>9</v>
      </c>
      <c r="J426" s="13" t="s">
        <v>15</v>
      </c>
      <c r="K426" s="28" t="s">
        <v>554</v>
      </c>
    </row>
    <row r="427" spans="1:11" ht="30.75" customHeight="1" x14ac:dyDescent="0.25">
      <c r="A427" s="22" t="s">
        <v>44</v>
      </c>
      <c r="B427" s="28">
        <v>47670951</v>
      </c>
      <c r="C427" s="28">
        <v>47670957</v>
      </c>
      <c r="D427" s="26">
        <v>45985</v>
      </c>
      <c r="E427" s="29">
        <v>12633727</v>
      </c>
      <c r="F427" s="28" t="s">
        <v>117</v>
      </c>
      <c r="G427" s="32">
        <v>25000</v>
      </c>
      <c r="H427" s="23">
        <f t="shared" si="6"/>
        <v>8750</v>
      </c>
      <c r="I427" s="28" t="s">
        <v>9</v>
      </c>
      <c r="J427" s="13" t="s">
        <v>15</v>
      </c>
      <c r="K427" s="28" t="s">
        <v>555</v>
      </c>
    </row>
    <row r="428" spans="1:11" ht="30.75" customHeight="1" x14ac:dyDescent="0.25">
      <c r="A428" s="22" t="s">
        <v>44</v>
      </c>
      <c r="B428" s="28">
        <v>47670969</v>
      </c>
      <c r="C428" s="28">
        <v>47670971</v>
      </c>
      <c r="D428" s="26">
        <v>45985</v>
      </c>
      <c r="E428" s="29">
        <v>12633727</v>
      </c>
      <c r="F428" s="28" t="s">
        <v>117</v>
      </c>
      <c r="G428" s="32">
        <v>25000</v>
      </c>
      <c r="H428" s="23">
        <f t="shared" si="6"/>
        <v>8750</v>
      </c>
      <c r="I428" s="28" t="s">
        <v>9</v>
      </c>
      <c r="J428" s="13" t="s">
        <v>15</v>
      </c>
      <c r="K428" s="28" t="s">
        <v>556</v>
      </c>
    </row>
    <row r="429" spans="1:11" ht="30.75" customHeight="1" x14ac:dyDescent="0.25">
      <c r="A429" s="22" t="s">
        <v>44</v>
      </c>
      <c r="B429" s="28">
        <v>47670985</v>
      </c>
      <c r="C429" s="28">
        <v>47670989</v>
      </c>
      <c r="D429" s="26">
        <v>45985</v>
      </c>
      <c r="E429" s="29">
        <v>12633727</v>
      </c>
      <c r="F429" s="28" t="s">
        <v>117</v>
      </c>
      <c r="G429" s="32">
        <v>25000</v>
      </c>
      <c r="H429" s="23">
        <f t="shared" si="6"/>
        <v>8750</v>
      </c>
      <c r="I429" s="28" t="s">
        <v>9</v>
      </c>
      <c r="J429" s="13" t="s">
        <v>15</v>
      </c>
      <c r="K429" s="28" t="s">
        <v>557</v>
      </c>
    </row>
    <row r="430" spans="1:11" ht="30.75" customHeight="1" x14ac:dyDescent="0.25">
      <c r="A430" s="22" t="s">
        <v>44</v>
      </c>
      <c r="B430" s="28">
        <v>47671050</v>
      </c>
      <c r="C430" s="28">
        <v>47671052</v>
      </c>
      <c r="D430" s="26">
        <v>45985</v>
      </c>
      <c r="E430" s="29">
        <v>12633727</v>
      </c>
      <c r="F430" s="28" t="s">
        <v>117</v>
      </c>
      <c r="G430" s="32">
        <v>25000</v>
      </c>
      <c r="H430" s="23">
        <f t="shared" si="6"/>
        <v>8750</v>
      </c>
      <c r="I430" s="28" t="s">
        <v>9</v>
      </c>
      <c r="J430" s="13" t="s">
        <v>15</v>
      </c>
      <c r="K430" s="28" t="s">
        <v>558</v>
      </c>
    </row>
    <row r="431" spans="1:11" ht="30.75" customHeight="1" x14ac:dyDescent="0.25">
      <c r="A431" s="22" t="s">
        <v>44</v>
      </c>
      <c r="B431" s="28">
        <v>47671092</v>
      </c>
      <c r="C431" s="28">
        <v>47671105</v>
      </c>
      <c r="D431" s="26">
        <v>45985</v>
      </c>
      <c r="E431" s="29">
        <v>12633727</v>
      </c>
      <c r="F431" s="28" t="s">
        <v>117</v>
      </c>
      <c r="G431" s="32">
        <v>25000</v>
      </c>
      <c r="H431" s="23">
        <f t="shared" si="6"/>
        <v>8750</v>
      </c>
      <c r="I431" s="28" t="s">
        <v>9</v>
      </c>
      <c r="J431" s="13" t="s">
        <v>15</v>
      </c>
      <c r="K431" s="28" t="s">
        <v>559</v>
      </c>
    </row>
    <row r="432" spans="1:11" ht="30.75" customHeight="1" x14ac:dyDescent="0.25">
      <c r="A432" s="22" t="s">
        <v>44</v>
      </c>
      <c r="B432" s="28">
        <v>47671134</v>
      </c>
      <c r="C432" s="28">
        <v>47671137</v>
      </c>
      <c r="D432" s="26">
        <v>45985</v>
      </c>
      <c r="E432" s="29">
        <v>12633727</v>
      </c>
      <c r="F432" s="28" t="s">
        <v>117</v>
      </c>
      <c r="G432" s="32">
        <v>25000</v>
      </c>
      <c r="H432" s="23">
        <f t="shared" si="6"/>
        <v>8750</v>
      </c>
      <c r="I432" s="28" t="s">
        <v>9</v>
      </c>
      <c r="J432" s="13" t="s">
        <v>15</v>
      </c>
      <c r="K432" s="28" t="s">
        <v>560</v>
      </c>
    </row>
    <row r="433" spans="1:11" ht="30.75" customHeight="1" x14ac:dyDescent="0.25">
      <c r="A433" s="22" t="s">
        <v>44</v>
      </c>
      <c r="B433" s="28">
        <v>47671168</v>
      </c>
      <c r="C433" s="28">
        <v>47671175</v>
      </c>
      <c r="D433" s="26">
        <v>45985</v>
      </c>
      <c r="E433" s="29">
        <v>12633727</v>
      </c>
      <c r="F433" s="28" t="s">
        <v>117</v>
      </c>
      <c r="G433" s="32">
        <v>25000</v>
      </c>
      <c r="H433" s="23">
        <f t="shared" si="6"/>
        <v>8750</v>
      </c>
      <c r="I433" s="28" t="s">
        <v>9</v>
      </c>
      <c r="J433" s="13" t="s">
        <v>15</v>
      </c>
      <c r="K433" s="28" t="s">
        <v>561</v>
      </c>
    </row>
    <row r="434" spans="1:11" ht="30.75" customHeight="1" x14ac:dyDescent="0.25">
      <c r="A434" s="22" t="s">
        <v>44</v>
      </c>
      <c r="B434" s="28">
        <v>47656016</v>
      </c>
      <c r="C434" s="28">
        <v>47665866</v>
      </c>
      <c r="D434" s="26">
        <v>45985</v>
      </c>
      <c r="E434" s="31">
        <v>34997933</v>
      </c>
      <c r="F434" s="28" t="s">
        <v>38</v>
      </c>
      <c r="G434" s="32">
        <v>121466</v>
      </c>
      <c r="H434" s="23">
        <f t="shared" si="6"/>
        <v>42513.1</v>
      </c>
      <c r="I434" s="28" t="s">
        <v>11</v>
      </c>
      <c r="J434" s="13" t="s">
        <v>13</v>
      </c>
      <c r="K434" s="28" t="s">
        <v>562</v>
      </c>
    </row>
    <row r="435" spans="1:11" ht="30.75" customHeight="1" x14ac:dyDescent="0.25">
      <c r="A435" s="22" t="s">
        <v>44</v>
      </c>
      <c r="B435" s="28">
        <v>47678557</v>
      </c>
      <c r="C435" s="28">
        <v>47678609</v>
      </c>
      <c r="D435" s="26">
        <v>45985</v>
      </c>
      <c r="E435" s="29">
        <v>49731614</v>
      </c>
      <c r="F435" s="28" t="s">
        <v>40</v>
      </c>
      <c r="G435" s="32">
        <v>560600</v>
      </c>
      <c r="H435" s="23">
        <f t="shared" si="6"/>
        <v>196210</v>
      </c>
      <c r="I435" s="28" t="s">
        <v>11</v>
      </c>
      <c r="J435" s="13" t="s">
        <v>13</v>
      </c>
      <c r="K435" s="28" t="s">
        <v>563</v>
      </c>
    </row>
    <row r="436" spans="1:11" ht="30.75" customHeight="1" x14ac:dyDescent="0.25">
      <c r="A436" s="22" t="s">
        <v>44</v>
      </c>
      <c r="B436" s="28">
        <v>47665037</v>
      </c>
      <c r="C436" s="28">
        <v>47668863</v>
      </c>
      <c r="D436" s="26">
        <v>45986</v>
      </c>
      <c r="E436" s="29">
        <v>28684004</v>
      </c>
      <c r="F436" s="28" t="s">
        <v>118</v>
      </c>
      <c r="G436" s="32">
        <v>283578</v>
      </c>
      <c r="H436" s="23">
        <f t="shared" si="6"/>
        <v>99252.299999999988</v>
      </c>
      <c r="I436" s="28" t="s">
        <v>11</v>
      </c>
      <c r="J436" s="13" t="s">
        <v>13</v>
      </c>
      <c r="K436" s="28" t="s">
        <v>564</v>
      </c>
    </row>
    <row r="437" spans="1:11" ht="30.75" customHeight="1" x14ac:dyDescent="0.25">
      <c r="A437" s="22" t="s">
        <v>44</v>
      </c>
      <c r="B437" s="28">
        <v>47644161</v>
      </c>
      <c r="C437" s="28">
        <v>47668159</v>
      </c>
      <c r="D437" s="26">
        <v>45986</v>
      </c>
      <c r="E437" s="29">
        <v>51618714</v>
      </c>
      <c r="F437" s="28" t="s">
        <v>119</v>
      </c>
      <c r="G437" s="32">
        <v>64006</v>
      </c>
      <c r="H437" s="23">
        <f t="shared" si="6"/>
        <v>22402.1</v>
      </c>
      <c r="I437" s="28" t="s">
        <v>11</v>
      </c>
      <c r="J437" s="13" t="s">
        <v>13</v>
      </c>
      <c r="K437" s="28" t="s">
        <v>565</v>
      </c>
    </row>
    <row r="438" spans="1:11" ht="30.75" customHeight="1" x14ac:dyDescent="0.25">
      <c r="A438" s="22" t="s">
        <v>44</v>
      </c>
      <c r="B438" s="28">
        <v>47685780</v>
      </c>
      <c r="C438" s="28">
        <v>47685847</v>
      </c>
      <c r="D438" s="26">
        <v>45986</v>
      </c>
      <c r="E438" s="29">
        <v>39716462</v>
      </c>
      <c r="F438" s="28" t="s">
        <v>111</v>
      </c>
      <c r="G438" s="32">
        <v>368950</v>
      </c>
      <c r="H438" s="23">
        <f t="shared" si="6"/>
        <v>129132.49999999999</v>
      </c>
      <c r="I438" s="28" t="s">
        <v>11</v>
      </c>
      <c r="J438" s="13" t="s">
        <v>13</v>
      </c>
      <c r="K438" s="28" t="s">
        <v>566</v>
      </c>
    </row>
    <row r="439" spans="1:11" ht="30.75" customHeight="1" x14ac:dyDescent="0.25">
      <c r="A439" s="22" t="s">
        <v>44</v>
      </c>
      <c r="B439" s="28">
        <v>47686669</v>
      </c>
      <c r="C439" s="28">
        <v>47686760</v>
      </c>
      <c r="D439" s="26">
        <v>45986</v>
      </c>
      <c r="E439" s="29">
        <v>17585301</v>
      </c>
      <c r="F439" s="28" t="s">
        <v>120</v>
      </c>
      <c r="G439" s="32">
        <v>10000</v>
      </c>
      <c r="H439" s="23">
        <f t="shared" si="6"/>
        <v>3500</v>
      </c>
      <c r="I439" s="28" t="s">
        <v>9</v>
      </c>
      <c r="J439" s="13" t="s">
        <v>15</v>
      </c>
      <c r="K439" s="28" t="s">
        <v>567</v>
      </c>
    </row>
    <row r="440" spans="1:11" ht="30.75" customHeight="1" x14ac:dyDescent="0.25">
      <c r="A440" s="22" t="s">
        <v>44</v>
      </c>
      <c r="B440" s="28">
        <v>47686698</v>
      </c>
      <c r="C440" s="28">
        <v>47686786</v>
      </c>
      <c r="D440" s="26">
        <v>45986</v>
      </c>
      <c r="E440" s="29">
        <v>17585301</v>
      </c>
      <c r="F440" s="28" t="s">
        <v>120</v>
      </c>
      <c r="G440" s="32">
        <v>10000</v>
      </c>
      <c r="H440" s="23">
        <f t="shared" si="6"/>
        <v>3500</v>
      </c>
      <c r="I440" s="28" t="s">
        <v>9</v>
      </c>
      <c r="J440" s="13" t="s">
        <v>15</v>
      </c>
      <c r="K440" s="28" t="s">
        <v>568</v>
      </c>
    </row>
    <row r="441" spans="1:11" ht="30.75" customHeight="1" x14ac:dyDescent="0.25">
      <c r="A441" s="22" t="s">
        <v>44</v>
      </c>
      <c r="B441" s="28">
        <v>47686941</v>
      </c>
      <c r="C441" s="28">
        <v>47687008</v>
      </c>
      <c r="D441" s="26">
        <v>45986</v>
      </c>
      <c r="E441" s="29">
        <v>39562347</v>
      </c>
      <c r="F441" s="28" t="s">
        <v>121</v>
      </c>
      <c r="G441" s="32">
        <v>166700</v>
      </c>
      <c r="H441" s="23">
        <f t="shared" si="6"/>
        <v>58344.999999999993</v>
      </c>
      <c r="I441" s="28" t="s">
        <v>11</v>
      </c>
      <c r="J441" s="13" t="s">
        <v>13</v>
      </c>
      <c r="K441" s="28" t="s">
        <v>569</v>
      </c>
    </row>
    <row r="442" spans="1:11" ht="30.75" customHeight="1" x14ac:dyDescent="0.25">
      <c r="A442" s="22" t="s">
        <v>44</v>
      </c>
      <c r="B442" s="28">
        <v>47696386</v>
      </c>
      <c r="C442" s="28">
        <v>47696420</v>
      </c>
      <c r="D442" s="26">
        <v>45987</v>
      </c>
      <c r="E442" s="29">
        <v>85260647</v>
      </c>
      <c r="F442" s="28" t="s">
        <v>30</v>
      </c>
      <c r="G442" s="32">
        <v>25000</v>
      </c>
      <c r="H442" s="23">
        <f t="shared" si="6"/>
        <v>8750</v>
      </c>
      <c r="I442" s="28" t="s">
        <v>9</v>
      </c>
      <c r="J442" s="13" t="s">
        <v>15</v>
      </c>
      <c r="K442" s="28" t="s">
        <v>570</v>
      </c>
    </row>
    <row r="443" spans="1:11" ht="30.75" customHeight="1" x14ac:dyDescent="0.25">
      <c r="A443" s="22" t="s">
        <v>44</v>
      </c>
      <c r="B443" s="28">
        <v>47696387</v>
      </c>
      <c r="C443" s="28">
        <v>47696441</v>
      </c>
      <c r="D443" s="26">
        <v>45987</v>
      </c>
      <c r="E443" s="29">
        <v>85260647</v>
      </c>
      <c r="F443" s="28" t="s">
        <v>30</v>
      </c>
      <c r="G443" s="32">
        <v>25000</v>
      </c>
      <c r="H443" s="23">
        <f t="shared" si="6"/>
        <v>8750</v>
      </c>
      <c r="I443" s="28" t="s">
        <v>9</v>
      </c>
      <c r="J443" s="13" t="s">
        <v>15</v>
      </c>
      <c r="K443" s="28" t="s">
        <v>571</v>
      </c>
    </row>
    <row r="444" spans="1:11" ht="30.75" customHeight="1" x14ac:dyDescent="0.25">
      <c r="A444" s="22" t="s">
        <v>44</v>
      </c>
      <c r="B444" s="28">
        <v>47708743</v>
      </c>
      <c r="C444" s="28">
        <v>47708770</v>
      </c>
      <c r="D444" s="26">
        <v>45987</v>
      </c>
      <c r="E444" s="29">
        <v>39653515</v>
      </c>
      <c r="F444" s="28" t="s">
        <v>122</v>
      </c>
      <c r="G444" s="32">
        <v>290700</v>
      </c>
      <c r="H444" s="23">
        <f t="shared" si="6"/>
        <v>101745</v>
      </c>
      <c r="I444" s="28" t="s">
        <v>11</v>
      </c>
      <c r="J444" s="13" t="s">
        <v>13</v>
      </c>
      <c r="K444" s="28" t="s">
        <v>572</v>
      </c>
    </row>
    <row r="445" spans="1:11" ht="30.75" customHeight="1" x14ac:dyDescent="0.25">
      <c r="A445" s="22" t="s">
        <v>44</v>
      </c>
      <c r="B445" s="28">
        <v>47709092</v>
      </c>
      <c r="C445" s="28">
        <v>47709172</v>
      </c>
      <c r="D445" s="26">
        <v>45987</v>
      </c>
      <c r="E445" s="29">
        <v>38252531</v>
      </c>
      <c r="F445" s="28" t="s">
        <v>37</v>
      </c>
      <c r="G445" s="32">
        <v>759528</v>
      </c>
      <c r="H445" s="23">
        <f t="shared" si="6"/>
        <v>265834.8</v>
      </c>
      <c r="I445" s="28" t="s">
        <v>11</v>
      </c>
      <c r="J445" s="13" t="s">
        <v>13</v>
      </c>
      <c r="K445" s="28" t="s">
        <v>573</v>
      </c>
    </row>
    <row r="446" spans="1:11" ht="30.75" customHeight="1" x14ac:dyDescent="0.25">
      <c r="A446" s="22" t="s">
        <v>44</v>
      </c>
      <c r="B446" s="28">
        <v>47713884</v>
      </c>
      <c r="C446" s="28">
        <v>47713950</v>
      </c>
      <c r="D446" s="26">
        <v>45988</v>
      </c>
      <c r="E446" s="29">
        <v>7175245</v>
      </c>
      <c r="F446" s="28" t="s">
        <v>123</v>
      </c>
      <c r="G446" s="32">
        <v>82800</v>
      </c>
      <c r="H446" s="23">
        <f t="shared" si="6"/>
        <v>28979.999999999996</v>
      </c>
      <c r="I446" s="28" t="s">
        <v>11</v>
      </c>
      <c r="J446" s="13" t="s">
        <v>13</v>
      </c>
      <c r="K446" s="28" t="s">
        <v>574</v>
      </c>
    </row>
    <row r="447" spans="1:11" ht="30.75" customHeight="1" x14ac:dyDescent="0.25">
      <c r="A447" s="22" t="s">
        <v>44</v>
      </c>
      <c r="B447" s="28">
        <v>47714350</v>
      </c>
      <c r="C447" s="28">
        <v>47714391</v>
      </c>
      <c r="D447" s="26">
        <v>45988</v>
      </c>
      <c r="E447" s="29">
        <v>6888453</v>
      </c>
      <c r="F447" s="28" t="s">
        <v>124</v>
      </c>
      <c r="G447" s="32">
        <v>101850</v>
      </c>
      <c r="H447" s="23">
        <f t="shared" si="6"/>
        <v>35647.5</v>
      </c>
      <c r="I447" s="28" t="s">
        <v>11</v>
      </c>
      <c r="J447" s="13" t="s">
        <v>13</v>
      </c>
      <c r="K447" s="28" t="s">
        <v>575</v>
      </c>
    </row>
    <row r="448" spans="1:11" ht="30.75" customHeight="1" x14ac:dyDescent="0.25">
      <c r="A448" s="22" t="s">
        <v>44</v>
      </c>
      <c r="B448" s="28">
        <v>47714879</v>
      </c>
      <c r="C448" s="28">
        <v>47715030</v>
      </c>
      <c r="D448" s="26">
        <v>45988</v>
      </c>
      <c r="E448" s="29">
        <v>51740298</v>
      </c>
      <c r="F448" s="28" t="s">
        <v>125</v>
      </c>
      <c r="G448" s="32">
        <v>522826</v>
      </c>
      <c r="H448" s="23">
        <f t="shared" si="6"/>
        <v>182989.09999999998</v>
      </c>
      <c r="I448" s="28" t="s">
        <v>11</v>
      </c>
      <c r="J448" s="13" t="s">
        <v>13</v>
      </c>
      <c r="K448" s="28" t="s">
        <v>576</v>
      </c>
    </row>
    <row r="449" spans="1:11" ht="30.75" customHeight="1" x14ac:dyDescent="0.25">
      <c r="A449" s="22" t="s">
        <v>44</v>
      </c>
      <c r="B449" s="28">
        <v>47719571</v>
      </c>
      <c r="C449" s="28">
        <v>47719599</v>
      </c>
      <c r="D449" s="26">
        <v>45988</v>
      </c>
      <c r="E449" s="29">
        <v>85458421</v>
      </c>
      <c r="F449" s="28" t="s">
        <v>25</v>
      </c>
      <c r="G449" s="32">
        <v>25000</v>
      </c>
      <c r="H449" s="23">
        <f t="shared" si="6"/>
        <v>8750</v>
      </c>
      <c r="I449" s="28" t="s">
        <v>9</v>
      </c>
      <c r="J449" s="13" t="s">
        <v>15</v>
      </c>
      <c r="K449" s="28" t="s">
        <v>577</v>
      </c>
    </row>
    <row r="450" spans="1:11" ht="30.75" customHeight="1" x14ac:dyDescent="0.25">
      <c r="A450" s="22" t="s">
        <v>44</v>
      </c>
      <c r="B450" s="28">
        <v>47719578</v>
      </c>
      <c r="C450" s="28">
        <v>47719618</v>
      </c>
      <c r="D450" s="26">
        <v>45988</v>
      </c>
      <c r="E450" s="29">
        <v>85458421</v>
      </c>
      <c r="F450" s="28" t="s">
        <v>25</v>
      </c>
      <c r="G450" s="32">
        <v>25000</v>
      </c>
      <c r="H450" s="23">
        <f t="shared" si="6"/>
        <v>8750</v>
      </c>
      <c r="I450" s="28" t="s">
        <v>9</v>
      </c>
      <c r="J450" s="13" t="s">
        <v>15</v>
      </c>
      <c r="K450" s="28" t="s">
        <v>578</v>
      </c>
    </row>
    <row r="451" spans="1:11" ht="30.75" customHeight="1" x14ac:dyDescent="0.25">
      <c r="A451" s="22" t="s">
        <v>44</v>
      </c>
      <c r="B451" s="28">
        <v>47719725</v>
      </c>
      <c r="C451" s="28">
        <v>47719766</v>
      </c>
      <c r="D451" s="26">
        <v>45988</v>
      </c>
      <c r="E451" s="29">
        <v>85458421</v>
      </c>
      <c r="F451" s="28" t="s">
        <v>25</v>
      </c>
      <c r="G451" s="32">
        <v>25000</v>
      </c>
      <c r="H451" s="23">
        <f t="shared" si="6"/>
        <v>8750</v>
      </c>
      <c r="I451" s="28" t="s">
        <v>9</v>
      </c>
      <c r="J451" s="13" t="s">
        <v>15</v>
      </c>
      <c r="K451" s="28" t="s">
        <v>579</v>
      </c>
    </row>
    <row r="452" spans="1:11" ht="30.75" customHeight="1" x14ac:dyDescent="0.25">
      <c r="A452" s="22" t="s">
        <v>44</v>
      </c>
      <c r="B452" s="28">
        <v>47719744</v>
      </c>
      <c r="C452" s="28">
        <v>47719778</v>
      </c>
      <c r="D452" s="26">
        <v>45988</v>
      </c>
      <c r="E452" s="29">
        <v>85458421</v>
      </c>
      <c r="F452" s="28" t="s">
        <v>25</v>
      </c>
      <c r="G452" s="32">
        <v>25000</v>
      </c>
      <c r="H452" s="23">
        <f t="shared" si="6"/>
        <v>8750</v>
      </c>
      <c r="I452" s="28" t="s">
        <v>9</v>
      </c>
      <c r="J452" s="13" t="s">
        <v>15</v>
      </c>
      <c r="K452" s="28" t="s">
        <v>580</v>
      </c>
    </row>
    <row r="453" spans="1:11" ht="30.75" customHeight="1" x14ac:dyDescent="0.25">
      <c r="A453" s="22" t="s">
        <v>44</v>
      </c>
      <c r="B453" s="28">
        <v>47721495</v>
      </c>
      <c r="C453" s="28">
        <v>47721525</v>
      </c>
      <c r="D453" s="26">
        <v>45988</v>
      </c>
      <c r="E453" s="29">
        <v>76334802</v>
      </c>
      <c r="F453" s="28" t="s">
        <v>126</v>
      </c>
      <c r="G453" s="32">
        <v>200000</v>
      </c>
      <c r="H453" s="23">
        <f t="shared" ref="H453:H462" si="7">+G453*35%</f>
        <v>70000</v>
      </c>
      <c r="I453" s="28" t="s">
        <v>10</v>
      </c>
      <c r="J453" s="13" t="s">
        <v>26</v>
      </c>
      <c r="K453" s="28" t="s">
        <v>581</v>
      </c>
    </row>
    <row r="454" spans="1:11" ht="30.75" customHeight="1" x14ac:dyDescent="0.25">
      <c r="A454" s="22" t="s">
        <v>44</v>
      </c>
      <c r="B454" s="28">
        <v>47721550</v>
      </c>
      <c r="C454" s="28">
        <v>47721587</v>
      </c>
      <c r="D454" s="26">
        <v>45988</v>
      </c>
      <c r="E454" s="29">
        <v>76334802</v>
      </c>
      <c r="F454" s="28" t="s">
        <v>126</v>
      </c>
      <c r="G454" s="32">
        <v>200000</v>
      </c>
      <c r="H454" s="23">
        <f t="shared" si="7"/>
        <v>70000</v>
      </c>
      <c r="I454" s="28" t="s">
        <v>10</v>
      </c>
      <c r="J454" s="13" t="s">
        <v>26</v>
      </c>
      <c r="K454" s="28" t="s">
        <v>582</v>
      </c>
    </row>
    <row r="455" spans="1:11" ht="30.75" customHeight="1" x14ac:dyDescent="0.25">
      <c r="A455" s="22" t="s">
        <v>44</v>
      </c>
      <c r="B455" s="28">
        <v>47723074</v>
      </c>
      <c r="C455" s="28">
        <v>47723129</v>
      </c>
      <c r="D455" s="26">
        <v>45988</v>
      </c>
      <c r="E455" s="29">
        <v>38252531</v>
      </c>
      <c r="F455" s="28" t="s">
        <v>37</v>
      </c>
      <c r="G455" s="32">
        <v>312660</v>
      </c>
      <c r="H455" s="23">
        <f t="shared" si="7"/>
        <v>109431</v>
      </c>
      <c r="I455" s="28" t="s">
        <v>11</v>
      </c>
      <c r="J455" s="13" t="s">
        <v>13</v>
      </c>
      <c r="K455" s="28" t="s">
        <v>583</v>
      </c>
    </row>
    <row r="456" spans="1:11" ht="30.75" customHeight="1" x14ac:dyDescent="0.25">
      <c r="A456" s="22" t="s">
        <v>44</v>
      </c>
      <c r="B456" s="28">
        <v>47723760</v>
      </c>
      <c r="C456" s="28">
        <v>47723789</v>
      </c>
      <c r="D456" s="26">
        <v>45988</v>
      </c>
      <c r="E456" s="29">
        <v>38872996</v>
      </c>
      <c r="F456" s="28" t="s">
        <v>127</v>
      </c>
      <c r="G456" s="32">
        <v>121466</v>
      </c>
      <c r="H456" s="23">
        <f t="shared" si="7"/>
        <v>42513.1</v>
      </c>
      <c r="I456" s="28" t="s">
        <v>11</v>
      </c>
      <c r="J456" s="13" t="s">
        <v>13</v>
      </c>
      <c r="K456" s="28" t="s">
        <v>584</v>
      </c>
    </row>
    <row r="457" spans="1:11" ht="30.75" customHeight="1" x14ac:dyDescent="0.25">
      <c r="A457" s="22" t="s">
        <v>44</v>
      </c>
      <c r="B457" s="28">
        <v>47728237</v>
      </c>
      <c r="C457" s="28">
        <v>47728275</v>
      </c>
      <c r="D457" s="26">
        <v>45989</v>
      </c>
      <c r="E457" s="29">
        <v>1122814862</v>
      </c>
      <c r="F457" s="28" t="s">
        <v>128</v>
      </c>
      <c r="G457" s="32">
        <v>81000</v>
      </c>
      <c r="H457" s="23">
        <f t="shared" si="7"/>
        <v>28350</v>
      </c>
      <c r="I457" s="28" t="s">
        <v>11</v>
      </c>
      <c r="J457" s="13" t="s">
        <v>13</v>
      </c>
      <c r="K457" s="28" t="s">
        <v>585</v>
      </c>
    </row>
    <row r="458" spans="1:11" ht="30.75" customHeight="1" x14ac:dyDescent="0.25">
      <c r="A458" s="22" t="s">
        <v>44</v>
      </c>
      <c r="B458" s="28">
        <v>47728831</v>
      </c>
      <c r="C458" s="28">
        <v>47729679</v>
      </c>
      <c r="D458" s="26">
        <v>45989</v>
      </c>
      <c r="E458" s="29">
        <v>85458421</v>
      </c>
      <c r="F458" s="28" t="s">
        <v>25</v>
      </c>
      <c r="G458" s="32">
        <v>776400</v>
      </c>
      <c r="H458" s="23">
        <f t="shared" si="7"/>
        <v>271740</v>
      </c>
      <c r="I458" s="28" t="s">
        <v>11</v>
      </c>
      <c r="J458" s="13" t="s">
        <v>13</v>
      </c>
      <c r="K458" s="28" t="s">
        <v>586</v>
      </c>
    </row>
    <row r="459" spans="1:11" ht="30.75" customHeight="1" x14ac:dyDescent="0.25">
      <c r="A459" s="22" t="s">
        <v>44</v>
      </c>
      <c r="B459" s="28">
        <v>47731330</v>
      </c>
      <c r="C459" s="28">
        <v>47731490</v>
      </c>
      <c r="D459" s="26">
        <v>45989</v>
      </c>
      <c r="E459" s="29">
        <v>6134422</v>
      </c>
      <c r="F459" s="28" t="s">
        <v>129</v>
      </c>
      <c r="G459" s="32">
        <v>496800</v>
      </c>
      <c r="H459" s="23">
        <f t="shared" si="7"/>
        <v>173880</v>
      </c>
      <c r="I459" s="28" t="s">
        <v>11</v>
      </c>
      <c r="J459" s="13" t="s">
        <v>13</v>
      </c>
      <c r="K459" s="28" t="s">
        <v>587</v>
      </c>
    </row>
    <row r="460" spans="1:11" ht="30.75" customHeight="1" x14ac:dyDescent="0.25">
      <c r="A460" s="22" t="s">
        <v>44</v>
      </c>
      <c r="B460" s="28">
        <v>47638419</v>
      </c>
      <c r="C460" s="28">
        <v>47649850</v>
      </c>
      <c r="D460" s="26">
        <v>45989</v>
      </c>
      <c r="E460" s="29">
        <v>21203575</v>
      </c>
      <c r="F460" s="28" t="s">
        <v>130</v>
      </c>
      <c r="G460" s="32">
        <v>593000</v>
      </c>
      <c r="H460" s="23">
        <f t="shared" si="7"/>
        <v>207550</v>
      </c>
      <c r="I460" s="28" t="s">
        <v>11</v>
      </c>
      <c r="J460" s="13" t="s">
        <v>13</v>
      </c>
      <c r="K460" s="28" t="s">
        <v>588</v>
      </c>
    </row>
    <row r="461" spans="1:11" ht="30.75" customHeight="1" x14ac:dyDescent="0.25">
      <c r="A461" s="22" t="s">
        <v>44</v>
      </c>
      <c r="B461" s="28">
        <v>47733439</v>
      </c>
      <c r="C461" s="28">
        <v>47733480</v>
      </c>
      <c r="D461" s="26">
        <v>45989</v>
      </c>
      <c r="E461" s="29">
        <v>50938433</v>
      </c>
      <c r="F461" s="28" t="s">
        <v>131</v>
      </c>
      <c r="G461" s="32">
        <v>147250</v>
      </c>
      <c r="H461" s="23">
        <f t="shared" si="7"/>
        <v>51537.5</v>
      </c>
      <c r="I461" s="28" t="s">
        <v>11</v>
      </c>
      <c r="J461" s="13" t="s">
        <v>13</v>
      </c>
      <c r="K461" s="28" t="s">
        <v>589</v>
      </c>
    </row>
    <row r="462" spans="1:11" ht="30.75" customHeight="1" x14ac:dyDescent="0.25">
      <c r="A462" s="22" t="s">
        <v>44</v>
      </c>
      <c r="B462" s="28">
        <v>47709255</v>
      </c>
      <c r="C462" s="28">
        <v>47723279</v>
      </c>
      <c r="D462" s="26">
        <v>45989</v>
      </c>
      <c r="E462" s="29">
        <v>60305819</v>
      </c>
      <c r="F462" s="28" t="s">
        <v>36</v>
      </c>
      <c r="G462" s="32">
        <v>594260</v>
      </c>
      <c r="H462" s="23">
        <f t="shared" si="7"/>
        <v>207991</v>
      </c>
      <c r="I462" s="28" t="s">
        <v>11</v>
      </c>
      <c r="J462" s="13" t="s">
        <v>13</v>
      </c>
      <c r="K462" s="28" t="s">
        <v>590</v>
      </c>
    </row>
    <row r="463" spans="1:11" ht="30.75" customHeight="1" x14ac:dyDescent="0.25">
      <c r="G463" s="30">
        <f>SUM(G4:G462)</f>
        <v>39369689</v>
      </c>
      <c r="H463" s="30">
        <f>SUM(H4:H462)</f>
        <v>13779391.150000002</v>
      </c>
    </row>
  </sheetData>
  <conditionalFormatting sqref="B4">
    <cfRule type="duplicateValues" dxfId="84" priority="77"/>
  </conditionalFormatting>
  <conditionalFormatting sqref="B5">
    <cfRule type="duplicateValues" dxfId="83" priority="76"/>
  </conditionalFormatting>
  <conditionalFormatting sqref="B6">
    <cfRule type="duplicateValues" dxfId="82" priority="45"/>
    <cfRule type="duplicateValues" dxfId="81" priority="75"/>
  </conditionalFormatting>
  <conditionalFormatting sqref="B7:B11">
    <cfRule type="duplicateValues" dxfId="80" priority="78"/>
  </conditionalFormatting>
  <conditionalFormatting sqref="B12">
    <cfRule type="duplicateValues" dxfId="79" priority="74"/>
  </conditionalFormatting>
  <conditionalFormatting sqref="B13:B15">
    <cfRule type="duplicateValues" dxfId="78" priority="81"/>
  </conditionalFormatting>
  <conditionalFormatting sqref="B16">
    <cfRule type="duplicateValues" dxfId="77" priority="43"/>
    <cfRule type="duplicateValues" dxfId="76" priority="73"/>
  </conditionalFormatting>
  <conditionalFormatting sqref="B17:B19">
    <cfRule type="duplicateValues" dxfId="75" priority="72"/>
  </conditionalFormatting>
  <conditionalFormatting sqref="B20">
    <cfRule type="duplicateValues" dxfId="74" priority="71"/>
  </conditionalFormatting>
  <conditionalFormatting sqref="B21:B23">
    <cfRule type="duplicateValues" dxfId="73" priority="79"/>
  </conditionalFormatting>
  <conditionalFormatting sqref="B24">
    <cfRule type="duplicateValues" dxfId="72" priority="70"/>
  </conditionalFormatting>
  <conditionalFormatting sqref="B25:B27">
    <cfRule type="duplicateValues" dxfId="71" priority="69"/>
  </conditionalFormatting>
  <conditionalFormatting sqref="B28">
    <cfRule type="duplicateValues" dxfId="70" priority="68"/>
  </conditionalFormatting>
  <conditionalFormatting sqref="B29">
    <cfRule type="duplicateValues" dxfId="69" priority="67"/>
  </conditionalFormatting>
  <conditionalFormatting sqref="B30">
    <cfRule type="duplicateValues" dxfId="68" priority="66"/>
  </conditionalFormatting>
  <conditionalFormatting sqref="B31:B33">
    <cfRule type="duplicateValues" dxfId="67" priority="80"/>
  </conditionalFormatting>
  <conditionalFormatting sqref="B34">
    <cfRule type="duplicateValues" dxfId="66" priority="65"/>
  </conditionalFormatting>
  <conditionalFormatting sqref="B35">
    <cfRule type="duplicateValues" dxfId="65" priority="64"/>
  </conditionalFormatting>
  <conditionalFormatting sqref="B36:B72">
    <cfRule type="duplicateValues" dxfId="64" priority="83"/>
  </conditionalFormatting>
  <conditionalFormatting sqref="B55">
    <cfRule type="duplicateValues" dxfId="63" priority="63"/>
  </conditionalFormatting>
  <conditionalFormatting sqref="B56">
    <cfRule type="duplicateValues" dxfId="62" priority="62"/>
  </conditionalFormatting>
  <conditionalFormatting sqref="B57">
    <cfRule type="duplicateValues" dxfId="61" priority="61"/>
  </conditionalFormatting>
  <conditionalFormatting sqref="B58">
    <cfRule type="duplicateValues" dxfId="60" priority="60"/>
  </conditionalFormatting>
  <conditionalFormatting sqref="B59">
    <cfRule type="duplicateValues" dxfId="59" priority="59"/>
  </conditionalFormatting>
  <conditionalFormatting sqref="B60">
    <cfRule type="duplicateValues" dxfId="58" priority="58"/>
  </conditionalFormatting>
  <conditionalFormatting sqref="B61">
    <cfRule type="duplicateValues" dxfId="57" priority="57"/>
  </conditionalFormatting>
  <conditionalFormatting sqref="B62">
    <cfRule type="duplicateValues" dxfId="56" priority="56"/>
  </conditionalFormatting>
  <conditionalFormatting sqref="B63">
    <cfRule type="duplicateValues" dxfId="55" priority="55"/>
  </conditionalFormatting>
  <conditionalFormatting sqref="B64">
    <cfRule type="duplicateValues" dxfId="54" priority="54"/>
  </conditionalFormatting>
  <conditionalFormatting sqref="B65">
    <cfRule type="duplicateValues" dxfId="53" priority="53"/>
  </conditionalFormatting>
  <conditionalFormatting sqref="B66">
    <cfRule type="duplicateValues" dxfId="52" priority="52"/>
  </conditionalFormatting>
  <conditionalFormatting sqref="B67">
    <cfRule type="duplicateValues" dxfId="51" priority="51"/>
  </conditionalFormatting>
  <conditionalFormatting sqref="B68:B71">
    <cfRule type="duplicateValues" dxfId="50" priority="82"/>
  </conditionalFormatting>
  <conditionalFormatting sqref="B72">
    <cfRule type="duplicateValues" dxfId="49" priority="50"/>
  </conditionalFormatting>
  <conditionalFormatting sqref="B73">
    <cfRule type="duplicateValues" dxfId="48" priority="49"/>
  </conditionalFormatting>
  <conditionalFormatting sqref="B74">
    <cfRule type="duplicateValues" dxfId="47" priority="48"/>
  </conditionalFormatting>
  <conditionalFormatting sqref="B75">
    <cfRule type="duplicateValues" dxfId="46" priority="47"/>
  </conditionalFormatting>
  <conditionalFormatting sqref="B77:B87">
    <cfRule type="duplicateValues" dxfId="45" priority="46"/>
  </conditionalFormatting>
  <conditionalFormatting sqref="B77:B167 B4:B75">
    <cfRule type="duplicateValues" dxfId="44" priority="84"/>
  </conditionalFormatting>
  <conditionalFormatting sqref="B77:B289 B4:B75">
    <cfRule type="duplicateValues" dxfId="43" priority="85"/>
  </conditionalFormatting>
  <conditionalFormatting sqref="B380:B462 B77:B378 B4:B75">
    <cfRule type="duplicateValues" dxfId="42" priority="44"/>
  </conditionalFormatting>
  <conditionalFormatting sqref="C4">
    <cfRule type="duplicateValues" dxfId="41" priority="35"/>
  </conditionalFormatting>
  <conditionalFormatting sqref="C5">
    <cfRule type="duplicateValues" dxfId="40" priority="34"/>
  </conditionalFormatting>
  <conditionalFormatting sqref="C6">
    <cfRule type="duplicateValues" dxfId="39" priority="33"/>
  </conditionalFormatting>
  <conditionalFormatting sqref="C7:C11">
    <cfRule type="duplicateValues" dxfId="38" priority="36"/>
  </conditionalFormatting>
  <conditionalFormatting sqref="C12">
    <cfRule type="duplicateValues" dxfId="37" priority="32"/>
  </conditionalFormatting>
  <conditionalFormatting sqref="C13:C15">
    <cfRule type="duplicateValues" dxfId="36" priority="39"/>
  </conditionalFormatting>
  <conditionalFormatting sqref="C16">
    <cfRule type="duplicateValues" dxfId="35" priority="31"/>
    <cfRule type="duplicateValues" dxfId="34" priority="1"/>
  </conditionalFormatting>
  <conditionalFormatting sqref="C17:C19">
    <cfRule type="duplicateValues" dxfId="33" priority="30"/>
  </conditionalFormatting>
  <conditionalFormatting sqref="C20">
    <cfRule type="duplicateValues" dxfId="32" priority="29"/>
  </conditionalFormatting>
  <conditionalFormatting sqref="C21:C23">
    <cfRule type="duplicateValues" dxfId="31" priority="37"/>
  </conditionalFormatting>
  <conditionalFormatting sqref="C24">
    <cfRule type="duplicateValues" dxfId="30" priority="28"/>
  </conditionalFormatting>
  <conditionalFormatting sqref="C25:C27">
    <cfRule type="duplicateValues" dxfId="29" priority="27"/>
  </conditionalFormatting>
  <conditionalFormatting sqref="C28">
    <cfRule type="duplicateValues" dxfId="28" priority="26"/>
  </conditionalFormatting>
  <conditionalFormatting sqref="C29">
    <cfRule type="duplicateValues" dxfId="27" priority="25"/>
  </conditionalFormatting>
  <conditionalFormatting sqref="C30">
    <cfRule type="duplicateValues" dxfId="26" priority="24"/>
  </conditionalFormatting>
  <conditionalFormatting sqref="C31:C33">
    <cfRule type="duplicateValues" dxfId="25" priority="38"/>
  </conditionalFormatting>
  <conditionalFormatting sqref="C34">
    <cfRule type="duplicateValues" dxfId="24" priority="23"/>
  </conditionalFormatting>
  <conditionalFormatting sqref="C35">
    <cfRule type="duplicateValues" dxfId="23" priority="22"/>
  </conditionalFormatting>
  <conditionalFormatting sqref="C36:C72">
    <cfRule type="duplicateValues" dxfId="22" priority="41"/>
  </conditionalFormatting>
  <conditionalFormatting sqref="C37">
    <cfRule type="duplicateValues" dxfId="21" priority="3"/>
  </conditionalFormatting>
  <conditionalFormatting sqref="C55">
    <cfRule type="duplicateValues" dxfId="20" priority="21"/>
  </conditionalFormatting>
  <conditionalFormatting sqref="C56">
    <cfRule type="duplicateValues" dxfId="19" priority="20"/>
  </conditionalFormatting>
  <conditionalFormatting sqref="C57">
    <cfRule type="duplicateValues" dxfId="18" priority="19"/>
  </conditionalFormatting>
  <conditionalFormatting sqref="C58">
    <cfRule type="duplicateValues" dxfId="17" priority="18"/>
  </conditionalFormatting>
  <conditionalFormatting sqref="C59">
    <cfRule type="duplicateValues" dxfId="16" priority="17"/>
  </conditionalFormatting>
  <conditionalFormatting sqref="C60">
    <cfRule type="duplicateValues" dxfId="15" priority="16"/>
  </conditionalFormatting>
  <conditionalFormatting sqref="C61">
    <cfRule type="duplicateValues" dxfId="14" priority="15"/>
  </conditionalFormatting>
  <conditionalFormatting sqref="C62">
    <cfRule type="duplicateValues" dxfId="13" priority="14"/>
  </conditionalFormatting>
  <conditionalFormatting sqref="C63">
    <cfRule type="duplicateValues" dxfId="12" priority="13"/>
  </conditionalFormatting>
  <conditionalFormatting sqref="C64">
    <cfRule type="duplicateValues" dxfId="11" priority="12"/>
  </conditionalFormatting>
  <conditionalFormatting sqref="C65">
    <cfRule type="duplicateValues" dxfId="10" priority="11"/>
  </conditionalFormatting>
  <conditionalFormatting sqref="C66">
    <cfRule type="duplicateValues" dxfId="9" priority="10"/>
  </conditionalFormatting>
  <conditionalFormatting sqref="C67">
    <cfRule type="duplicateValues" dxfId="8" priority="9"/>
  </conditionalFormatting>
  <conditionalFormatting sqref="C68:C71">
    <cfRule type="duplicateValues" dxfId="7" priority="40"/>
  </conditionalFormatting>
  <conditionalFormatting sqref="C72">
    <cfRule type="duplicateValues" dxfId="6" priority="8"/>
  </conditionalFormatting>
  <conditionalFormatting sqref="C73">
    <cfRule type="duplicateValues" dxfId="5" priority="7"/>
  </conditionalFormatting>
  <conditionalFormatting sqref="C74">
    <cfRule type="duplicateValues" dxfId="4" priority="6"/>
  </conditionalFormatting>
  <conditionalFormatting sqref="C75">
    <cfRule type="duplicateValues" dxfId="3" priority="5"/>
  </conditionalFormatting>
  <conditionalFormatting sqref="C77:C87">
    <cfRule type="duplicateValues" dxfId="2" priority="4"/>
  </conditionalFormatting>
  <conditionalFormatting sqref="C77:C289 C4:C75">
    <cfRule type="duplicateValues" dxfId="1" priority="42"/>
  </conditionalFormatting>
  <conditionalFormatting sqref="C380:C462 C77:C378 C4:C75">
    <cfRule type="duplicateValues" dxfId="0" priority="2"/>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01EEB-0AEC-4D79-91A5-7B2C16CC6D3F}">
  <dimension ref="A1:B6"/>
  <sheetViews>
    <sheetView workbookViewId="0">
      <selection activeCell="B32" sqref="B32"/>
    </sheetView>
  </sheetViews>
  <sheetFormatPr baseColWidth="10" defaultRowHeight="15" x14ac:dyDescent="0.25"/>
  <cols>
    <col min="1" max="1" width="14.85546875" bestFit="1" customWidth="1"/>
    <col min="2" max="2" width="39.5703125" bestFit="1" customWidth="1"/>
  </cols>
  <sheetData>
    <row r="1" spans="1:2" ht="45" x14ac:dyDescent="0.25">
      <c r="A1" s="14" t="s">
        <v>18</v>
      </c>
      <c r="B1" s="15" t="s">
        <v>19</v>
      </c>
    </row>
    <row r="2" spans="1:2" x14ac:dyDescent="0.25">
      <c r="A2" s="16" t="s">
        <v>9</v>
      </c>
      <c r="B2" s="17" t="s">
        <v>15</v>
      </c>
    </row>
    <row r="3" spans="1:2" x14ac:dyDescent="0.25">
      <c r="A3" s="16" t="s">
        <v>10</v>
      </c>
      <c r="B3" s="17" t="s">
        <v>14</v>
      </c>
    </row>
    <row r="4" spans="1:2" x14ac:dyDescent="0.25">
      <c r="A4" s="16" t="s">
        <v>16</v>
      </c>
      <c r="B4" s="17" t="s">
        <v>17</v>
      </c>
    </row>
    <row r="5" spans="1:2" x14ac:dyDescent="0.25">
      <c r="A5" s="18" t="s">
        <v>20</v>
      </c>
      <c r="B5" s="19" t="s">
        <v>21</v>
      </c>
    </row>
    <row r="6" spans="1:2" x14ac:dyDescent="0.25">
      <c r="A6" s="20" t="s">
        <v>11</v>
      </c>
      <c r="B6" s="21" t="s">
        <v>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5998D27-C78C-4F3A-B608-29B4DB73CCD5}"/>
</file>

<file path=customXml/itemProps2.xml><?xml version="1.0" encoding="utf-8"?>
<ds:datastoreItem xmlns:ds="http://schemas.openxmlformats.org/officeDocument/2006/customXml" ds:itemID="{60F1D4E4-DB8C-481D-A04B-BBD7828A1810}"/>
</file>

<file path=customXml/itemProps3.xml><?xml version="1.0" encoding="utf-8"?>
<ds:datastoreItem xmlns:ds="http://schemas.openxmlformats.org/officeDocument/2006/customXml" ds:itemID="{7AD1D378-FEC4-4E33-AEAA-3E1FF53BEC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PlantillaGirosAnticipados.</vt:lpstr>
      <vt:lpstr>ANEXOS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Yobany Calderon</dc:creator>
  <cp:lastModifiedBy>Jose Libardo Zamora Peña</cp:lastModifiedBy>
  <dcterms:created xsi:type="dcterms:W3CDTF">2025-02-20T20:42:33Z</dcterms:created>
  <dcterms:modified xsi:type="dcterms:W3CDTF">2025-12-26T16:32:51Z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