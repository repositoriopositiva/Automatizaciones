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C:\Users\jzamora\OneDrive - AGS COlombia SAS\INFORMES\INFORMES 2025\NOVIEMBRE 2025\0458-2025-900912423-07-2025\"/>
    </mc:Choice>
  </mc:AlternateContent>
  <xr:revisionPtr revIDLastSave="7" documentId="13_ncr:1_{03671BD2-828C-482B-8B17-B857034122D4}" xr6:coauthVersionLast="47" xr6:coauthVersionMax="47" xr10:uidLastSave="{D58AF5AF-D565-4AE8-8D2A-8423C62E62F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<sst xmlns="http://schemas.openxmlformats.org/spreadsheetml/2006/main" count="185" uniqueCount="148">
  <si>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</si>
  <si>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</si>
  <si>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</si>
  <si>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</si>
  <si>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</si>
  <si>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</si>
  <si>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</si>
  <si>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</si>
  <si>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</si>
  <si>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</si>
  <si>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</si>
  <si>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</si>
  <si>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</si>
  <si>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</si>
  <si>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</si>
  <si>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</si>
  <si>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</si>
  <si>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</si>
  <si>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</si>
  <si>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</si>
  <si>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</si>
  <si>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</si>
  <si>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</si>
  <si>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</si>
  <si>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</si>
  <si>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</si>
  <si>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0458-2025</t>
  </si>
  <si>
    <t>Prestación de servicios</t>
  </si>
  <si>
    <t>No. de NIT</t>
  </si>
  <si>
    <t>Nombre y/o razón social del proveedor</t>
  </si>
  <si>
    <t>VIAJES Y RUTAS DE COLOMBIA S.A.S.</t>
  </si>
  <si>
    <t>Fecha de inicio</t>
  </si>
  <si>
    <t>Fecha de terminación</t>
  </si>
  <si>
    <t>2. OBJETO</t>
  </si>
  <si>
    <t>EL CONTRATISTA se obliga con POSITIVA a “Prestación de servicios de suministro transporte terrestre especial no urgente, giros y seguimiento de estos servicios para los asegurados de positiva y sus acompañantes cuando aplique a nivel nacional.”</t>
  </si>
  <si>
    <t>3. MODIFICACIONES AL CONTRATO</t>
  </si>
  <si>
    <r>
      <t xml:space="preserve">Otrosí No. </t>
    </r>
    <r>
      <rPr>
        <sz val="11"/>
        <color theme="1"/>
        <rFont val="Arial"/>
        <family val="2"/>
      </rPr>
      <t>NO APLICA</t>
    </r>
  </si>
  <si>
    <r>
      <t xml:space="preserve">Fecha de modificación:
</t>
    </r>
    <r>
      <rPr>
        <sz val="11"/>
        <color theme="1"/>
        <rFont val="Arial"/>
        <family val="2"/>
      </rPr>
      <t>NO APLICA</t>
    </r>
    <r>
      <rPr>
        <b/>
        <sz val="11"/>
        <color theme="1"/>
        <rFont val="Arial"/>
        <family val="2"/>
      </rPr>
      <t xml:space="preserve"> 
</t>
    </r>
  </si>
  <si>
    <r>
      <t xml:space="preserve">Objeto de la modificación: </t>
    </r>
    <r>
      <rPr>
        <sz val="11"/>
        <color theme="1"/>
        <rFont val="Arial"/>
        <family val="2"/>
      </rPr>
      <t xml:space="preserve">NO APLICA </t>
    </r>
  </si>
  <si>
    <t>4. DATOS DEL INFORME</t>
  </si>
  <si>
    <t>Informe de interventoria No.</t>
  </si>
  <si>
    <t>07-2025</t>
  </si>
  <si>
    <t>Período del informe:</t>
  </si>
  <si>
    <t>01-11-2025 hasta 30-11-2025</t>
  </si>
  <si>
    <t>5. CUMPLIMIENTO A LAS OBLIGACIONES GENERALES Y ESPECÍFICAS DEL CONTRATO</t>
  </si>
  <si>
    <t>Ver anexo 1. EVALUACIÓN DE OBLIGACIONES GENERALES Y ESPECÍFICAS</t>
  </si>
  <si>
    <t>6. ACUERDOS DE NIVELES DE SERVICIO Y/O INDICADORES</t>
  </si>
  <si>
    <t>La evaluación de ANS se incluye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</si>
  <si>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</si>
  <si>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</si>
  <si>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</si>
  <si>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</si>
  <si>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</si>
  <si>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</si>
  <si>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</si>
  <si>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</si>
  <si>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</si>
  <si>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</si>
  <si>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Seguros Comerciales Bolivar S.A.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</si>
  <si>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</si>
  <si>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</si>
  <si>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</si>
  <si>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</si>
  <si>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</si>
  <si>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</si>
  <si>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</si>
  <si>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</si>
  <si>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</si>
  <si>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</si>
  <si>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</si>
  <si>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</si>
  <si>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</si>
  <si>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</si>
  <si>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</si>
  <si>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</si>
  <si>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</si>
  <si>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</si>
  <si>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</si>
  <si>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</si>
  <si>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</si>
  <si>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 (Verificado en la visita realizada el 25 de septiembre de 2025)</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</si>
  <si>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</si>
  <si>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</si>
  <si>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</si>
  <si>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</si>
  <si>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</si>
  <si>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</si>
  <si>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</si>
  <si>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</si>
  <si>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ANS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</si>
  <si>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</si>
  <si>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</si>
  <si>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</si>
  <si>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</si>
  <si>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</si>
  <si>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</si>
  <si>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</si>
  <si>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</si>
  <si>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</si>
  <si>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</si>
  <si>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</si>
  <si>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</si>
  <si>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</si>
  <si>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</si>
  <si>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</si>
  <si>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</si>
  <si>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</si>
  <si>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</si>
  <si>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</si>
  <si>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</si>
  <si>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</si>
  <si>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</si>
  <si>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</si>
  <si>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</si>
  <si>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</si>
  <si>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</si>
  <si>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</si>
  <si>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</si>
  <si>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</si>
  <si>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</si>
  <si>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</si>
  <si>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</si>
  <si>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</si>
  <si>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</si>
  <si>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</si>
  <si>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</si>
  <si>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</si>
  <si>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</si>
  <si>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</si>
  <si>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Para el periodo en evaluación el proveedor cumple con los ANS establecidos.
•	PQRD evaluables para el siguiente periodo.
•	No se hace necesaria la solicitud de planes de mejora. 
•	El proveedor presenta el archivo de vehículos a parametrizar.
•	Presenta información de giro anticipado. 
•	Proveedor presenta certificación y planilla de parafiscales.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</si>
  <si>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</si>
  <si>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</si>
  <si>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</si>
  <si>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</si>
  <si>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</si>
  <si>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</si>
  <si>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</si>
  <si>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</si>
  <si>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</si>
  <si>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</si>
  <si>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</si>
  <si>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ACUERDOS DE NIVELES DE SERVICIOS y/o INDICADORES.
3. Soportes de medición de indicadores.
4. Relación de pagos ARL- GP.
5. Soporte de pago PILA y certificado seguridad social y parafiscales.
6. Habilitación del proveedor de acuerdo con el tipo de servicio.
7. Acta de visita y/o reunión con el proveedor.
8. Acta seguimiento al consumo de garantías de cumplimiento y RC extracontractual.
9.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</si>
  <si>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</si>
  <si>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</si>
  <si>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</si>
  <si>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</si>
  <si>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t>
    </r>
  </si>
  <si>
    <r>
      <rPr>
        <b/>
        <sz val="11"/>
        <color theme="1"/>
        <rFont val="Arial"/>
        <family val="2"/>
      </rPr>
      <t>Cargo:</t>
    </r>
    <r>
      <rPr>
        <sz val="11"/>
        <color theme="1"/>
        <rFont val="Arial"/>
        <family val="2"/>
      </rPr>
      <t xml:space="preserve"> Profesional de transporte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</si>
</sst>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mmm\-yyyy"/>
    <numFmt numFmtId="168" formatCode="_-[$$-240A]\ * #,##0_-;\-[$$-240A]\ * #,##0_-;_-[$$-240A]\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8"/>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2">
    <xf numFmtId="0" fontId="0" fillId="0" borderId="0"/>
    <xf numFmtId="0" fontId="1" fillId="0" borderId="0"/>
  </cellStyleXfs>
  <cellXfs count="9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horizontal="left" vertical="center" wrapText="1"/>
    </xf>
    <xf numFmtId="0" fontId="12" fillId="0" borderId="7" xfId="0" applyFont="1" applyBorder="1" applyAlignment="1">
      <alignment horizontal="center" vertical="center" wrapText="1"/>
    </xf>
    <xf numFmtId="49" fontId="12" fillId="0" borderId="5" xfId="0" applyNumberFormat="1" applyFont="1" applyBorder="1" applyAlignment="1">
      <alignment horizontal="center" vertical="center" wrapText="1"/>
    </xf>
    <xf numFmtId="0" fontId="12" fillId="0" borderId="13" xfId="0" applyFont="1" applyBorder="1" applyAlignment="1">
      <alignment horizontal="center" vertical="center" wrapText="1"/>
    </xf>
    <xf numFmtId="14" fontId="12" fillId="6" borderId="5" xfId="0" applyNumberFormat="1" applyFont="1" applyFill="1" applyBorder="1" applyAlignment="1">
      <alignment horizontal="center" vertical="center" wrapText="1"/>
    </xf>
    <xf numFmtId="0" fontId="13" fillId="0" borderId="5" xfId="0" applyFont="1" applyBorder="1" applyAlignment="1">
      <alignment vertical="top" wrapText="1"/>
    </xf>
    <xf numFmtId="1" fontId="12" fillId="6" borderId="13" xfId="0" applyNumberFormat="1" applyFont="1" applyFill="1" applyBorder="1" applyAlignment="1">
      <alignment horizontal="center" vertical="center"/>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5" xfId="0" applyFont="1" applyBorder="1" applyAlignment="1">
      <alignment horizontal="center" wrapText="1"/>
    </xf>
    <xf numFmtId="0" fontId="12" fillId="0" borderId="5" xfId="0" applyFont="1" applyBorder="1" applyAlignment="1">
      <alignment horizontal="left" vertical="center" wrapText="1"/>
    </xf>
    <xf numFmtId="0" fontId="13" fillId="0" borderId="5"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2" borderId="5" xfId="0" applyFont="1" applyFill="1" applyBorder="1" applyAlignment="1">
      <alignment horizontal="center" wrapText="1"/>
    </xf>
    <xf numFmtId="0" fontId="12" fillId="0" borderId="5" xfId="0" applyFont="1" applyBorder="1" applyAlignment="1">
      <alignment wrapText="1"/>
    </xf>
    <xf numFmtId="0" fontId="13" fillId="2" borderId="7" xfId="0" applyFont="1" applyFill="1" applyBorder="1" applyAlignment="1">
      <alignment horizontal="center" wrapText="1"/>
    </xf>
    <xf numFmtId="0" fontId="12" fillId="2" borderId="11" xfId="0" applyFont="1" applyFill="1" applyBorder="1" applyAlignment="1">
      <alignment horizont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2" fillId="0" borderId="8"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168" fontId="17" fillId="0" borderId="13" xfId="0" applyNumberFormat="1" applyFont="1" applyBorder="1" applyAlignment="1">
      <alignment horizontal="right" wrapText="1"/>
    </xf>
    <xf numFmtId="168" fontId="17" fillId="0" borderId="13" xfId="0" applyNumberFormat="1" applyFont="1" applyBorder="1" applyAlignment="1">
      <alignment horizontal="right"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520700</xdr:colOff>
      <xdr:row>0</xdr:row>
      <xdr:rowOff>104777</xdr:rowOff>
    </xdr:from>
    <xdr:to>
      <xdr:col>5</xdr:col>
      <xdr:colOff>940600</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1625" y="10477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7" t="s">
        <v>20</v>
      </c>
      <c r="B10" s="38">
        <v>45589</v>
      </c>
      <c r="C10" s="49" t="s">
        <v>21</v>
      </c>
      <c r="D10" s="49"/>
      <c r="E10" s="49"/>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3" zoomScaleNormal="100" workbookViewId="0">
      <selection activeCell="N50" sqref="N5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c r="A6" s="56" t="s">
        <v>26</v>
      </c>
      <c r="B6" s="56"/>
      <c r="C6" s="56"/>
      <c r="D6" s="66" t="s">
        <v>27</v>
      </c>
      <c r="E6" s="84"/>
      <c r="F6" s="67"/>
      <c r="G6" s="29"/>
    </row>
    <row r="7" spans="1:9" ht="15">
      <c r="A7" s="55" t="s">
        <v>28</v>
      </c>
      <c r="B7" s="55"/>
      <c r="C7" s="55"/>
      <c r="D7" s="55" t="s">
        <v>29</v>
      </c>
      <c r="E7" s="55"/>
      <c r="F7" s="55"/>
      <c r="G7" s="29"/>
    </row>
    <row r="8" spans="1:9">
      <c r="A8" s="56">
        <v>900912423</v>
      </c>
      <c r="B8" s="56"/>
      <c r="C8" s="56"/>
      <c r="D8" s="56" t="s">
        <v>30</v>
      </c>
      <c r="E8" s="56"/>
      <c r="F8" s="56"/>
      <c r="G8" s="29"/>
    </row>
    <row r="9" spans="1:9" ht="15">
      <c r="A9" s="55" t="s">
        <v>31</v>
      </c>
      <c r="B9" s="55"/>
      <c r="C9" s="55"/>
      <c r="D9" s="57">
        <v>45778</v>
      </c>
      <c r="E9" s="58"/>
      <c r="F9" s="58"/>
      <c r="G9" s="29"/>
    </row>
    <row r="10" spans="1:9" ht="15">
      <c r="A10" s="55" t="s">
        <v>32</v>
      </c>
      <c r="B10" s="55"/>
      <c r="C10" s="55"/>
      <c r="D10" s="57">
        <v>46508</v>
      </c>
      <c r="E10" s="58"/>
      <c r="F10" s="58"/>
      <c r="G10" s="29"/>
    </row>
    <row r="11" spans="1:9" ht="15">
      <c r="A11" s="55" t="s">
        <v>33</v>
      </c>
      <c r="B11" s="55"/>
      <c r="C11" s="55"/>
      <c r="D11" s="55"/>
      <c r="E11" s="55"/>
      <c r="F11" s="55"/>
      <c r="G11" s="29"/>
    </row>
    <row r="12" spans="1:9" ht="36" customHeight="1">
      <c r="A12" s="59" t="s">
        <v>34</v>
      </c>
      <c r="B12" s="59"/>
      <c r="C12" s="59"/>
      <c r="D12" s="59"/>
      <c r="E12" s="59"/>
      <c r="F12" s="59"/>
      <c r="G12" s="29"/>
    </row>
    <row r="13" spans="1:9" ht="15">
      <c r="A13" s="55" t="s">
        <v>35</v>
      </c>
      <c r="B13" s="55"/>
      <c r="C13" s="55"/>
      <c r="D13" s="55"/>
      <c r="E13" s="55"/>
      <c r="F13" s="55"/>
      <c r="G13" s="29"/>
    </row>
    <row r="14" spans="1:9" ht="31.5" customHeight="1">
      <c r="A14" s="19" t="s">
        <v>36</v>
      </c>
      <c r="B14" s="44" t="s">
        <v>37</v>
      </c>
      <c r="C14" s="60" t="s">
        <v>38</v>
      </c>
      <c r="D14" s="60"/>
      <c r="E14" s="60"/>
      <c r="F14" s="60"/>
      <c r="G14" s="29"/>
    </row>
    <row r="15" spans="1:9" ht="15">
      <c r="A15" s="55" t="s">
        <v>39</v>
      </c>
      <c r="B15" s="55"/>
      <c r="C15" s="55"/>
      <c r="D15" s="55"/>
      <c r="E15" s="55"/>
      <c r="F15" s="55"/>
      <c r="G15" s="29"/>
    </row>
    <row r="16" spans="1:9" ht="15" customHeight="1">
      <c r="A16" s="55" t="s">
        <v>40</v>
      </c>
      <c r="B16" s="55"/>
      <c r="C16" s="41" t="s">
        <v>41</v>
      </c>
      <c r="D16" s="30" t="s">
        <v>42</v>
      </c>
      <c r="E16" s="58" t="s">
        <v>43</v>
      </c>
      <c r="F16" s="58"/>
      <c r="G16" s="29"/>
    </row>
    <row r="17" spans="1:12" ht="15">
      <c r="A17" s="55" t="s">
        <v>44</v>
      </c>
      <c r="B17" s="55"/>
      <c r="C17" s="55"/>
      <c r="D17" s="55"/>
      <c r="E17" s="55"/>
      <c r="F17" s="55"/>
      <c r="G17" s="29"/>
    </row>
    <row r="18" spans="1:12" ht="14.25" customHeight="1">
      <c r="A18" s="58" t="s">
        <v>45</v>
      </c>
      <c r="B18" s="58"/>
      <c r="C18" s="58"/>
      <c r="D18" s="58"/>
      <c r="E18" s="58"/>
      <c r="F18" s="58"/>
      <c r="G18" s="29"/>
    </row>
    <row r="19" spans="1:12" ht="15">
      <c r="A19" s="55" t="s">
        <v>46</v>
      </c>
      <c r="B19" s="55"/>
      <c r="C19" s="55"/>
      <c r="D19" s="55"/>
      <c r="E19" s="55"/>
      <c r="F19" s="55"/>
      <c r="G19" s="29"/>
    </row>
    <row r="20" spans="1:12" ht="14.25" customHeight="1">
      <c r="A20" s="58" t="s">
        <v>47</v>
      </c>
      <c r="B20" s="58"/>
      <c r="C20" s="58"/>
      <c r="D20" s="58"/>
      <c r="E20" s="58"/>
      <c r="F20" s="58"/>
      <c r="G20" s="29"/>
    </row>
    <row r="21" spans="1:12" ht="15">
      <c r="A21" s="55" t="s">
        <v>48</v>
      </c>
      <c r="B21" s="55"/>
      <c r="C21" s="55"/>
      <c r="D21" s="55"/>
      <c r="E21" s="55"/>
      <c r="F21" s="55"/>
      <c r="G21" s="29"/>
    </row>
    <row r="22" spans="1:12" ht="15">
      <c r="A22" s="92" t="s">
        <v>49</v>
      </c>
      <c r="B22" s="92" t="s">
        <v>50</v>
      </c>
      <c r="C22" s="85" t="s">
        <v>51</v>
      </c>
      <c r="D22" s="85" t="s">
        <v>52</v>
      </c>
      <c r="E22" s="78" t="s">
        <v>53</v>
      </c>
      <c r="F22" s="87"/>
      <c r="G22" s="29"/>
    </row>
    <row r="23" spans="1:12" ht="15">
      <c r="A23" s="92"/>
      <c r="B23" s="92"/>
      <c r="C23" s="86"/>
      <c r="D23" s="86"/>
      <c r="E23" s="20" t="s">
        <v>54</v>
      </c>
      <c r="F23" s="20" t="s">
        <v>55</v>
      </c>
      <c r="G23" s="29"/>
    </row>
    <row r="24" spans="1:12" ht="21" customHeight="1">
      <c r="A24" s="88" t="s">
        <v>56</v>
      </c>
      <c r="B24" s="23" t="s">
        <v>57</v>
      </c>
      <c r="C24" s="40" t="s">
        <v>58</v>
      </c>
      <c r="D24" s="45">
        <v>1510100039001</v>
      </c>
      <c r="E24" s="43">
        <v>45778</v>
      </c>
      <c r="F24" s="43">
        <v>46692</v>
      </c>
      <c r="G24" s="29"/>
    </row>
    <row r="25" spans="1:12" ht="21" customHeight="1">
      <c r="A25" s="89"/>
      <c r="B25" s="23" t="s">
        <v>59</v>
      </c>
      <c r="C25" s="40" t="s">
        <v>58</v>
      </c>
      <c r="D25" s="45">
        <v>1510100039001</v>
      </c>
      <c r="E25" s="43">
        <v>45778</v>
      </c>
      <c r="F25" s="43">
        <v>46692</v>
      </c>
      <c r="G25" s="29"/>
    </row>
    <row r="26" spans="1:12" ht="28.5">
      <c r="A26" s="90"/>
      <c r="B26" s="23" t="s">
        <v>60</v>
      </c>
      <c r="C26" s="40" t="s">
        <v>58</v>
      </c>
      <c r="D26" s="45">
        <v>1510100039001</v>
      </c>
      <c r="E26" s="43">
        <v>45778</v>
      </c>
      <c r="F26" s="43">
        <v>47604</v>
      </c>
      <c r="G26" s="29"/>
    </row>
    <row r="27" spans="1:12" ht="64.5" customHeight="1">
      <c r="A27" s="21" t="s">
        <v>61</v>
      </c>
      <c r="B27" s="23" t="s">
        <v>62</v>
      </c>
      <c r="C27" s="40" t="s">
        <v>58</v>
      </c>
      <c r="D27" s="45">
        <v>1510100088601</v>
      </c>
      <c r="E27" s="43">
        <v>45778</v>
      </c>
      <c r="F27" s="43">
        <v>46692</v>
      </c>
      <c r="G27" s="29"/>
    </row>
    <row r="28" spans="1:12" ht="85.5">
      <c r="A28" s="21" t="s">
        <v>63</v>
      </c>
      <c r="B28" s="23" t="s">
        <v>64</v>
      </c>
      <c r="C28" s="22" t="s">
        <v>65</v>
      </c>
      <c r="D28" s="22" t="s">
        <v>65</v>
      </c>
      <c r="E28" s="22" t="s">
        <v>65</v>
      </c>
      <c r="F28" s="22" t="s">
        <v>65</v>
      </c>
      <c r="G28" s="29"/>
    </row>
    <row r="29" spans="1:12" ht="15">
      <c r="A29" s="61" t="s">
        <v>66</v>
      </c>
      <c r="B29" s="91"/>
      <c r="C29" s="91"/>
      <c r="D29" s="91"/>
      <c r="E29" s="91"/>
      <c r="F29" s="62"/>
      <c r="G29" s="29"/>
    </row>
    <row r="30" spans="1:12" ht="15">
      <c r="A30" s="20" t="s">
        <v>67</v>
      </c>
      <c r="B30" s="20" t="s">
        <v>68</v>
      </c>
      <c r="C30" s="20" t="s">
        <v>69</v>
      </c>
      <c r="D30" s="61" t="s">
        <v>70</v>
      </c>
      <c r="E30" s="62"/>
      <c r="F30" s="20" t="s">
        <v>71</v>
      </c>
      <c r="G30" s="29"/>
      <c r="H30" s="34" t="s">
        <v>72</v>
      </c>
      <c r="I30" s="34" t="s">
        <v>73</v>
      </c>
      <c r="J30" s="34" t="s">
        <v>74</v>
      </c>
      <c r="K30" s="34" t="s">
        <v>75</v>
      </c>
      <c r="L30" s="34" t="s">
        <v>76</v>
      </c>
    </row>
    <row r="31" spans="1:12" ht="185.25">
      <c r="A31" s="21" t="s">
        <v>77</v>
      </c>
      <c r="B31" s="39" t="s">
        <v>78</v>
      </c>
      <c r="C31" s="22" t="s">
        <v>79</v>
      </c>
      <c r="D31" s="66" t="s">
        <v>80</v>
      </c>
      <c r="E31" s="67"/>
      <c r="F31" s="22" t="s">
        <v>81</v>
      </c>
      <c r="G31" s="29"/>
      <c r="H31" s="34" t="s">
        <v>78</v>
      </c>
      <c r="I31" s="34" t="s">
        <v>82</v>
      </c>
      <c r="J31" s="34" t="s">
        <v>83</v>
      </c>
      <c r="K31" s="34" t="s">
        <v>84</v>
      </c>
      <c r="L31" s="34" t="s">
        <v>85</v>
      </c>
    </row>
    <row r="32" spans="1:12" ht="57">
      <c r="A32" s="21" t="s">
        <v>86</v>
      </c>
      <c r="B32" s="39" t="s">
        <v>87</v>
      </c>
      <c r="C32" s="22" t="s">
        <v>88</v>
      </c>
      <c r="D32" s="66" t="s">
        <v>89</v>
      </c>
      <c r="E32" s="67"/>
      <c r="F32" s="22" t="s">
        <v>81</v>
      </c>
      <c r="G32" s="29"/>
      <c r="H32" s="34" t="s">
        <v>90</v>
      </c>
      <c r="I32" s="35" t="s">
        <v>79</v>
      </c>
      <c r="J32" s="34" t="s">
        <v>87</v>
      </c>
      <c r="K32" s="34" t="s">
        <v>91</v>
      </c>
      <c r="L32" s="34" t="s">
        <v>92</v>
      </c>
    </row>
    <row r="33" spans="1:12">
      <c r="A33" s="21" t="s">
        <v>93</v>
      </c>
      <c r="B33" s="22" t="s">
        <v>65</v>
      </c>
      <c r="C33" s="22" t="s">
        <v>65</v>
      </c>
      <c r="D33" s="66" t="s">
        <v>65</v>
      </c>
      <c r="E33" s="67"/>
      <c r="F33" s="22" t="s">
        <v>65</v>
      </c>
      <c r="G33" s="29"/>
      <c r="H33" s="34" t="s">
        <v>94</v>
      </c>
      <c r="I33" s="35" t="s">
        <v>88</v>
      </c>
      <c r="J33" s="34" t="s">
        <v>65</v>
      </c>
      <c r="K33" s="34" t="s">
        <v>95</v>
      </c>
      <c r="L33" s="34" t="s">
        <v>96</v>
      </c>
    </row>
    <row r="34" spans="1:12" ht="71.25">
      <c r="A34" s="21" t="s">
        <v>97</v>
      </c>
      <c r="B34" s="39" t="s">
        <v>85</v>
      </c>
      <c r="C34" s="22" t="s">
        <v>79</v>
      </c>
      <c r="D34" s="66" t="s">
        <v>89</v>
      </c>
      <c r="E34" s="67"/>
      <c r="F34" s="22" t="s">
        <v>81</v>
      </c>
      <c r="G34" s="29"/>
      <c r="H34" s="34" t="s">
        <v>98</v>
      </c>
      <c r="I34" s="34" t="s">
        <v>99</v>
      </c>
      <c r="K34" s="34" t="s">
        <v>100</v>
      </c>
      <c r="L34" s="34" t="s">
        <v>101</v>
      </c>
    </row>
    <row r="35" spans="1:12" ht="15">
      <c r="A35" s="71" t="s">
        <v>102</v>
      </c>
      <c r="B35" s="72"/>
      <c r="C35" s="72"/>
      <c r="D35" s="72"/>
      <c r="E35" s="72"/>
      <c r="F35" s="73"/>
      <c r="G35" s="29"/>
      <c r="H35" s="34" t="s">
        <v>103</v>
      </c>
      <c r="I35" s="34" t="s">
        <v>104</v>
      </c>
      <c r="K35" s="34" t="s">
        <v>105</v>
      </c>
      <c r="L35" s="34" t="s">
        <v>106</v>
      </c>
    </row>
    <row r="36" spans="1:12" ht="15">
      <c r="A36" s="65" t="s">
        <v>107</v>
      </c>
      <c r="B36" s="65"/>
      <c r="C36" s="33" t="s">
        <v>69</v>
      </c>
      <c r="D36" s="65" t="s">
        <v>70</v>
      </c>
      <c r="E36" s="65"/>
      <c r="F36" s="33" t="s">
        <v>108</v>
      </c>
      <c r="G36" s="29"/>
      <c r="H36" s="34" t="s">
        <v>109</v>
      </c>
      <c r="I36" s="35" t="s">
        <v>110</v>
      </c>
      <c r="K36" s="34" t="s">
        <v>111</v>
      </c>
      <c r="L36" s="34" t="s">
        <v>112</v>
      </c>
    </row>
    <row r="37" spans="1:12" ht="33.75" customHeight="1">
      <c r="A37" s="81" t="s">
        <v>113</v>
      </c>
      <c r="B37" s="81"/>
      <c r="C37" s="42" t="s">
        <v>110</v>
      </c>
      <c r="D37" s="74" t="s">
        <v>114</v>
      </c>
      <c r="E37" s="75"/>
      <c r="F37" s="42" t="s">
        <v>115</v>
      </c>
      <c r="G37" s="29"/>
      <c r="H37" s="34" t="s">
        <v>116</v>
      </c>
      <c r="I37" s="35" t="s">
        <v>115</v>
      </c>
      <c r="L37" s="34" t="s">
        <v>117</v>
      </c>
    </row>
    <row r="38" spans="1:12" ht="15">
      <c r="A38" s="68" t="s">
        <v>118</v>
      </c>
      <c r="B38" s="69"/>
      <c r="C38" s="69"/>
      <c r="D38" s="69"/>
      <c r="E38" s="69"/>
      <c r="F38" s="70"/>
      <c r="G38" s="29"/>
      <c r="I38" s="34" t="s">
        <v>119</v>
      </c>
      <c r="L38" s="34" t="s">
        <v>120</v>
      </c>
    </row>
    <row r="39" spans="1:12" ht="15">
      <c r="A39" s="65" t="s">
        <v>107</v>
      </c>
      <c r="B39" s="65"/>
      <c r="C39" s="33" t="s">
        <v>69</v>
      </c>
      <c r="D39" s="65" t="s">
        <v>70</v>
      </c>
      <c r="E39" s="65"/>
      <c r="F39" s="33" t="s">
        <v>108</v>
      </c>
      <c r="G39" s="29"/>
      <c r="I39" s="35" t="s">
        <v>121</v>
      </c>
      <c r="L39" s="34" t="s">
        <v>122</v>
      </c>
    </row>
    <row r="40" spans="1:12" ht="72.75" customHeight="1">
      <c r="A40" s="63" t="s">
        <v>123</v>
      </c>
      <c r="B40" s="64"/>
      <c r="C40" s="42" t="s">
        <v>110</v>
      </c>
      <c r="D40" s="63" t="s">
        <v>124</v>
      </c>
      <c r="E40" s="64"/>
      <c r="F40" s="22" t="s">
        <v>115</v>
      </c>
      <c r="G40" s="29"/>
      <c r="H40" s="34" t="s">
        <v>124</v>
      </c>
      <c r="L40" s="35"/>
    </row>
    <row r="41" spans="1:12" ht="15">
      <c r="A41" s="55" t="s">
        <v>125</v>
      </c>
      <c r="B41" s="55"/>
      <c r="C41" s="55"/>
      <c r="D41" s="55"/>
      <c r="E41" s="55"/>
      <c r="F41" s="55"/>
      <c r="G41" s="29"/>
      <c r="H41" s="34" t="s">
        <v>126</v>
      </c>
    </row>
    <row r="42" spans="1:12" ht="15">
      <c r="A42" s="78" t="s">
        <v>127</v>
      </c>
      <c r="B42" s="93"/>
      <c r="C42" s="87"/>
      <c r="D42" s="94">
        <v>4262</v>
      </c>
      <c r="E42" s="95"/>
      <c r="F42" s="96"/>
      <c r="G42" s="29"/>
      <c r="H42" s="34" t="s">
        <v>128</v>
      </c>
    </row>
    <row r="43" spans="1:12" ht="96.75" customHeight="1">
      <c r="A43" s="59" t="s">
        <v>129</v>
      </c>
      <c r="B43" s="59"/>
      <c r="C43" s="59"/>
      <c r="D43" s="59"/>
      <c r="E43" s="59"/>
      <c r="F43" s="59"/>
      <c r="G43" s="29"/>
      <c r="H43" s="34" t="s">
        <v>130</v>
      </c>
    </row>
    <row r="44" spans="1:12" ht="15">
      <c r="A44" s="55" t="s">
        <v>131</v>
      </c>
      <c r="B44" s="76"/>
      <c r="C44" s="76"/>
      <c r="D44" s="76"/>
      <c r="E44" s="76"/>
      <c r="F44" s="76"/>
      <c r="G44" s="29"/>
    </row>
    <row r="45" spans="1:12" ht="15">
      <c r="A45" s="55" t="s">
        <v>132</v>
      </c>
      <c r="B45" s="55"/>
      <c r="C45" s="55"/>
      <c r="D45" s="58" t="s">
        <v>133</v>
      </c>
      <c r="E45" s="58"/>
      <c r="F45" s="58"/>
      <c r="G45" s="29"/>
    </row>
    <row r="46" spans="1:12" ht="15">
      <c r="A46" s="55" t="s">
        <v>134</v>
      </c>
      <c r="B46" s="55"/>
      <c r="C46" s="55"/>
      <c r="D46" s="80" t="s">
        <v>135</v>
      </c>
      <c r="E46" s="80"/>
      <c r="F46" s="80"/>
      <c r="G46" s="29"/>
    </row>
    <row r="47" spans="1:12" ht="15">
      <c r="A47" s="55" t="s">
        <v>136</v>
      </c>
      <c r="B47" s="55"/>
      <c r="C47" s="78"/>
      <c r="D47" s="97">
        <v>1862996725</v>
      </c>
      <c r="E47" s="97"/>
      <c r="F47" s="97"/>
      <c r="G47" s="29"/>
    </row>
    <row r="48" spans="1:12" ht="15">
      <c r="A48" s="55" t="s">
        <v>137</v>
      </c>
      <c r="B48" s="55"/>
      <c r="C48" s="78"/>
      <c r="D48" s="97">
        <v>1199315553</v>
      </c>
      <c r="E48" s="97"/>
      <c r="F48" s="97"/>
      <c r="G48" s="29"/>
    </row>
    <row r="49" spans="1:7" ht="15">
      <c r="A49" s="55" t="s">
        <v>138</v>
      </c>
      <c r="B49" s="55"/>
      <c r="C49" s="78"/>
      <c r="D49" s="97">
        <v>0</v>
      </c>
      <c r="E49" s="97"/>
      <c r="F49" s="97"/>
      <c r="G49" s="29"/>
    </row>
    <row r="50" spans="1:7" ht="32.25" customHeight="1">
      <c r="A50" s="55" t="s">
        <v>139</v>
      </c>
      <c r="B50" s="55"/>
      <c r="C50" s="78"/>
      <c r="D50" s="98">
        <f>+D47+D48+D49</f>
        <v>3062312278</v>
      </c>
      <c r="E50" s="98"/>
      <c r="F50" s="98"/>
      <c r="G50" s="29"/>
    </row>
    <row r="51" spans="1:7" ht="15">
      <c r="A51" s="55" t="s">
        <v>140</v>
      </c>
      <c r="B51" s="76"/>
      <c r="C51" s="76"/>
      <c r="D51" s="79"/>
      <c r="E51" s="79"/>
      <c r="F51" s="79"/>
      <c r="G51" s="29"/>
    </row>
    <row r="52" spans="1:7" ht="141" customHeight="1">
      <c r="A52" s="59" t="s">
        <v>141</v>
      </c>
      <c r="B52" s="59"/>
      <c r="C52" s="59"/>
      <c r="D52" s="59"/>
      <c r="E52" s="59"/>
      <c r="F52" s="59"/>
      <c r="G52" s="29"/>
    </row>
    <row r="53" spans="1:7" ht="15">
      <c r="A53" s="55" t="s">
        <v>142</v>
      </c>
      <c r="B53" s="55"/>
      <c r="C53" s="55"/>
      <c r="D53" s="55"/>
      <c r="E53" s="55"/>
      <c r="F53" s="55"/>
      <c r="G53" s="29"/>
    </row>
    <row r="54" spans="1:7" ht="15">
      <c r="A54" s="55" t="s">
        <v>143</v>
      </c>
      <c r="B54" s="76"/>
      <c r="C54" s="76"/>
      <c r="D54" s="76"/>
      <c r="E54" s="76"/>
      <c r="F54" s="76"/>
      <c r="G54" s="29"/>
    </row>
    <row r="55" spans="1:7" ht="14.25" customHeight="1">
      <c r="A55" s="77" t="s">
        <v>144</v>
      </c>
      <c r="B55" s="77"/>
      <c r="C55" s="77"/>
      <c r="D55" s="77"/>
      <c r="E55" s="77"/>
      <c r="F55" s="77"/>
      <c r="G55" s="29"/>
    </row>
    <row r="56" spans="1:7" ht="14.25" customHeight="1">
      <c r="A56" s="77" t="s">
        <v>145</v>
      </c>
      <c r="B56" s="77"/>
      <c r="C56" s="77"/>
      <c r="D56" s="77"/>
      <c r="E56" s="77"/>
      <c r="F56" s="77"/>
      <c r="G56" s="29"/>
    </row>
    <row r="57" spans="1:7" ht="37.5" customHeight="1">
      <c r="A57" s="82" t="e" vm="1">
        <v>#VALUE!</v>
      </c>
      <c r="B57" s="83"/>
      <c r="C57" s="83"/>
      <c r="D57" s="83"/>
      <c r="E57" s="83"/>
      <c r="F57" s="83"/>
      <c r="G57" s="29"/>
    </row>
    <row r="58" spans="1:7" ht="14.25" customHeight="1">
      <c r="A58" s="77" t="s">
        <v>146</v>
      </c>
      <c r="B58" s="77"/>
      <c r="C58" s="77"/>
      <c r="D58" s="77"/>
      <c r="E58" s="77"/>
      <c r="F58" s="77"/>
      <c r="G58" s="29"/>
    </row>
    <row r="59" spans="1:7" ht="14.25" customHeight="1">
      <c r="A59" s="77" t="s">
        <v>147</v>
      </c>
      <c r="B59" s="77"/>
      <c r="C59" s="77"/>
      <c r="D59" s="77"/>
      <c r="E59" s="77"/>
      <c r="F59" s="77"/>
      <c r="G59" s="29"/>
    </row>
    <row r="60" spans="1:7" ht="37.5" customHeight="1">
      <c r="A60" s="82" t="e" vm="2">
        <v>#VALUE!</v>
      </c>
      <c r="B60" s="82"/>
      <c r="C60" s="82"/>
      <c r="D60" s="82"/>
      <c r="E60" s="82"/>
      <c r="F60" s="82"/>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phoneticPr fontId="18" type="noConversion"/>
  <dataValidations count="6">
    <dataValidation type="list" allowBlank="1" showInputMessage="1" showErrorMessage="1" sqref="F37 F40" xr:uid="{40C2D559-1CE8-41D2-BEA5-420E035AC938}">
      <formula1>$I$37:$I$39</formula1>
    </dataValidation>
    <dataValidation type="list" allowBlank="1" showInputMessage="1" showErrorMessage="1" sqref="C31:C32 C34" xr:uid="{D39F70AA-9A79-43ED-8E6E-DC2209C2C6FD}">
      <formula1>$I$34:$I$39</formula1>
    </dataValidation>
    <dataValidation type="list" allowBlank="1" showInputMessage="1" showErrorMessage="1" sqref="B31" xr:uid="{7818DC1C-9C1F-4DFE-96BC-7A985FFDC9B7}">
      <formula1>$H$34:$H$40</formula1>
    </dataValidation>
    <dataValidation type="list" allowBlank="1" showInputMessage="1" showErrorMessage="1" sqref="B32" xr:uid="{6A5F954E-E463-4722-9E13-FB832CDB86F3}">
      <formula1>$J$34:$J$35</formula1>
    </dataValidation>
    <dataValidation type="list" allowBlank="1" showInputMessage="1" showErrorMessage="1" sqref="B34" xr:uid="{2F808B7B-9669-42BD-91ED-710E1CC05ABD}">
      <formula1>$L$34:$L$42</formula1>
    </dataValidation>
    <dataValidation type="list" allowBlank="1" showInputMessage="1" showErrorMessage="1" sqref="D40:E40" xr:uid="{7450F40F-7165-46A9-BFBC-BDB856B0FFE0}">
      <formula1>$H$43:$H$46</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CABC2608-EA1B-4D97-9193-7D90C10A2F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2025-12-30T21:40:21Z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