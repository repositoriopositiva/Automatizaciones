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Vaupés/INFORME 09 SEPTIEMBRE-2025 0791-2024/"/>
    </mc:Choice>
  </mc:AlternateContent>
  <xr:revisionPtr revIDLastSave="55" documentId="13_ncr:1_{C84CB7A9-8DF6-4240-AB7D-A783CCF6E67A}" xr6:coauthVersionLast="47" xr6:coauthVersionMax="47" xr10:uidLastSave="{DB9AA08D-506D-41F3-AA11-35EE6DDFFF49}"/>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<sst xmlns="http://schemas.openxmlformats.org/spreadsheetml/2006/main" count="179" uniqueCount="132">
  <si>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</si>
  <si>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</si>
  <si>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</si>
  <si>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</si>
  <si>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</si>
  <si>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</si>
  <si>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</si>
  <si>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</si>
  <si>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</si>
  <si>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</si>
  <si>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</si>
  <si>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</si>
  <si>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</si>
  <si>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</si>
  <si>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</si>
  <si>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</si>
  <si>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</si>
  <si>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</si>
  <si>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</si>
  <si>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</si>
  <si>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</si>
  <si>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</si>
  <si>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</si>
  <si>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</si>
  <si>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</si>
  <si>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</si>
  <si>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0791-2024</t>
  </si>
  <si>
    <t>Prestación de Servicios</t>
  </si>
  <si>
    <t>No. de NIT</t>
  </si>
  <si>
    <t>Nombre y/o razón social del proveedor</t>
  </si>
  <si>
    <t>EMPRESA SOCIAL DEL ESTADO SAN ANTONIO</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</si>
  <si>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</si>
  <si>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</si>
  <si>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</si>
  <si>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propias),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 Apoyo Diagnostico y Complementación Terapéutica.                                                                                                                                                                                                                                                                                                                                                                                                                                                                           2. Atención inmediata.                                                                                                                                                                                                                                                                                                                                                                                                                                                                                                                                        3. Consulta Externa.                                                                                                                                                                                                                                                                                                                                                                                                                                                                                                                                                                     4. Internación.                                                                                                                                                                                                                                                                                                                                                                                                                                                                                                                                                           5. Quirúrgicos.                                                                                                                                                                                                                                                                                                                                                                                                                                                                                                                                                        Demás servicios que se habiliten durante la vigencia del contrato previa concertación económica entre las partes.</t>
  </si>
  <si>
    <t>3. MODIFICACIONES AL CONTRATO</t>
  </si>
  <si>
    <r>
      <t xml:space="preserve">Otrosí No. </t>
    </r>
    <r>
      <rPr>
        <sz val="11"/>
        <color rgb="FF000000"/>
        <rFont val="Arial"/>
        <family val="2"/>
      </rPr>
      <t>No aplica</t>
    </r>
  </si>
  <si>
    <r>
      <t xml:space="preserve">Fecha de modificación:
</t>
    </r>
    <r>
      <rPr>
        <sz val="11"/>
        <color theme="1"/>
        <rFont val="Arial"/>
        <family val="2"/>
      </rPr>
      <t>No aplica</t>
    </r>
  </si>
  <si>
    <r>
      <t xml:space="preserve">Objeto de la modificación: </t>
    </r>
    <r>
      <rPr>
        <sz val="11"/>
        <color rgb="FF000000"/>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</si>
  <si>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</si>
  <si>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</si>
  <si>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</si>
  <si>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</si>
  <si>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</si>
  <si>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</si>
  <si>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</si>
  <si>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</si>
  <si>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</si>
  <si>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</si>
  <si>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</si>
  <si>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</si>
  <si>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</si>
  <si>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</si>
  <si>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</si>
  <si>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</si>
  <si>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</si>
  <si>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</si>
  <si>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</si>
  <si>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</si>
  <si>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</si>
  <si>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</si>
  <si>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</si>
  <si>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</si>
  <si>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</si>
  <si>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</si>
  <si>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COMPAÑIA DE SEGUROS</t>
  </si>
  <si>
    <t>8. REQUERIMIENTO CAS&amp;SOMA</t>
  </si>
  <si>
    <t>SUB/SISTEMA</t>
  </si>
  <si>
    <t>CRITERIO CAS&amp;SOMA</t>
  </si>
  <si>
    <t>PERIODICIDAD</t>
  </si>
  <si>
    <t>FUENTE DE VALIDACIÓN</t>
  </si>
  <si>
    <t>SI/NO</t>
  </si>
  <si>
    <t>Criterio CAS&amp;SOMA Seguridad y salud en el trabajo</t>
  </si>
  <si>
    <t>Periodicidad</t>
  </si>
  <si>
    <t>Criterio CAS&amp;SOMA Calidad</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</si>
  <si>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</si>
  <si>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</si>
  <si>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</si>
  <si>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</si>
  <si>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</si>
  <si>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</si>
  <si>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</si>
  <si>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CALIDAD</t>
  </si>
  <si>
    <t>Certificado consolidado Aportes Parafiscales vigente( Red Asistencial)</t>
  </si>
  <si>
    <t>Seguimiento al cumplimiento del ANS definido para proveedores</t>
  </si>
  <si>
    <t>AMBIENTE</t>
  </si>
  <si>
    <t>Certificado Aportes Parafiscales vigente</t>
  </si>
  <si>
    <t>Mensual</t>
  </si>
  <si>
    <t>CRITERIOS SYST SEGURIDAD VIAL</t>
  </si>
  <si>
    <t>Formatos de Permisos de Trabajo Seguro para actividades de alto riesgo (Trabajo en alturas, espacios confinados  y actividades eléctricas, fumigación y otras) diligenciado por actividad a realizar.</t>
  </si>
  <si>
    <t>Trimestral</t>
  </si>
  <si>
    <t>9. SEGURIDAD EN LA INFORMACIÓN</t>
  </si>
  <si>
    <t>Procedimientos de trabajo seguro. Si aplica</t>
  </si>
  <si>
    <t>Semestral</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</si>
  <si>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</si>
  <si>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</si>
  <si>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</si>
  <si>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</si>
  <si>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</si>
  <si>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</si>
  <si>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</si>
  <si>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</si>
  <si>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</si>
  <si>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10. CONTINUIDAD DEL NEGOCIO</t>
  </si>
  <si>
    <t>No Recibido</t>
  </si>
  <si>
    <t>N/A</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</si>
  <si>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</si>
  <si>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</si>
  <si>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</si>
  <si>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</si>
  <si>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</si>
  <si>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</si>
  <si>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ni planilla de pagos en seguridad social y aportes parafiscales correspondientes al periodo evaluado.                                                                                                                                                                                                                                                                                                                                                              Se realizó la verificación de la habilitación del prestador y presenta medidas de seguridad para los servicios descritos en el Reps, el proveedor emite una comunicación en el meses anteriores, donde informan que dichas medidas solo afectan esos servicios y que estan comprometidos con el cumplimiento de la CLÁUSULA VIGÉSIMA OCTAVA-CONTINUIDAD DEL SERVICIO, asi mismo informan que ya se realizó la gestión ante el Grupo Interno de Prestación de Servicios de la Secretaría de Salud Departamental para el cierre de las mismas .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</si>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</sst>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8" fillId="6" borderId="10" xfId="0" applyFont="1" applyFill="1" applyBorder="1" applyAlignment="1">
      <alignment horizontal="left" vertical="center" wrapText="1"/>
    </xf>
    <xf numFmtId="0" fontId="14" fillId="6" borderId="10" xfId="0" applyFont="1" applyFill="1" applyBorder="1" applyAlignment="1">
      <alignment horizontal="left" vertical="center" wrapText="1"/>
    </xf>
    <xf numFmtId="49" fontId="19"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0" fillId="0" borderId="26" xfId="0" applyFont="1" applyBorder="1" applyAlignment="1">
      <alignment vertical="center" wrapText="1"/>
    </xf>
    <xf numFmtId="0" fontId="18" fillId="0" borderId="27" xfId="0" applyFont="1" applyBorder="1" applyAlignment="1">
      <alignment vertical="center" wrapText="1"/>
    </xf>
    <xf numFmtId="0" fontId="18" fillId="0" borderId="28"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26" xfId="0" applyFont="1" applyBorder="1" applyAlignment="1">
      <alignment wrapText="1"/>
    </xf>
    <xf numFmtId="0" fontId="18" fillId="0" borderId="27" xfId="0" applyFont="1" applyBorder="1" applyAlignment="1">
      <alignment wrapText="1"/>
    </xf>
    <xf numFmtId="0" fontId="18" fillId="0" borderId="28" xfId="0" applyFont="1" applyBorder="1" applyAlignment="1">
      <alignment wrapText="1"/>
    </xf>
    <xf numFmtId="0" fontId="18" fillId="0" borderId="26"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9" fillId="0" borderId="13" xfId="0" applyFont="1" applyBorder="1" applyAlignment="1">
      <alignment horizontal="center" vertical="center" wrapText="1"/>
    </xf>
    <xf numFmtId="0" fontId="18" fillId="7" borderId="13" xfId="0" applyFont="1" applyFill="1" applyBorder="1" applyAlignment="1">
      <alignment horizont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13" xfId="0" applyFont="1" applyFill="1" applyBorder="1" applyAlignment="1">
      <alignment horizontal="center"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3" fillId="0" borderId="13" xfId="0" applyFont="1" applyBorder="1" applyAlignment="1">
      <alignment horizontal="center" vertical="center" wrapText="1"/>
    </xf>
    <xf numFmtId="0" fontId="18" fillId="6" borderId="16" xfId="0" applyFont="1" applyFill="1" applyBorder="1" applyAlignment="1">
      <alignment horizontal="left" vertical="center" wrapText="1"/>
    </xf>
    <xf numFmtId="0" fontId="14" fillId="6" borderId="17" xfId="0" applyFont="1" applyFill="1" applyBorder="1" applyAlignment="1">
      <alignment horizontal="left" vertical="center" wrapText="1"/>
    </xf>
    <xf numFmtId="0" fontId="14" fillId="6" borderId="18" xfId="0" applyFont="1" applyFill="1" applyBorder="1" applyAlignment="1">
      <alignment horizontal="left"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xf numFmtId="0" fontId="18" fillId="0" borderId="26" xfId="0" applyFont="1" applyFill="1" applyBorder="1" applyAlignment="1">
      <alignment vertical="center" wrapText="1"/>
    </xf>
    <xf numFmtId="0" fontId="18" fillId="0" borderId="27" xfId="0" applyFont="1" applyFill="1" applyBorder="1" applyAlignment="1">
      <alignment vertical="center" wrapText="1"/>
    </xf>
    <xf numFmtId="0" fontId="18" fillId="0" borderId="28" xfId="0" applyFont="1" applyFill="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1056805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373383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55</xdr:row>
      <xdr:rowOff>0</xdr:rowOff>
    </xdr:from>
    <xdr:to>
      <xdr:col>6</xdr:col>
      <xdr:colOff>304800</xdr:colOff>
      <xdr:row>56</xdr:row>
      <xdr:rowOff>142875</xdr:rowOff>
    </xdr:to>
    <xdr:sp macro="" textlink="">
      <xdr:nvSpPr>
        <xdr:cNvPr id="3075" name="AutoShape 3" descr="data:image/png;base64,iVBORw0KGgoAAAANSUhEUgAAAHYAAAAiCAYAAACKuC3wAAAAAXNSR0IArs4c6QAACudJREFUaEPtWglPG1kS/rp93xdgcx8BQpY7TM7Z3ZnVauYX70QaRVolk0UwmYSQhITTQDAYg40vfLvdvapymnDYwRCTSTJ+kkUUP7/3ur6qr76q14KiKAoa40otkElnEAmHkc8XYLFZ4HK5YDKZrnRPoQHsldoXsWgcc8+eQW/QY2BwEAeRAxSLBXR2dcHpckKj0VzJARrAXolZPyzqX13HzPQMJqcmMDw6jEKhgEAggP3QPpqam9De0Q6z2Vz3UzSArbtJTy6YOkxhdnoWBSmPH378ARarFZT9IuEI1lbXIIoC+gcG4Pa4IQhC3U7TALZupqy+EOXXF8/noNfrMTI2Bk+ThydnM1ksLS4iEU+g91ofOrs6IYpiXU7UAPaSZqSoo081IGRZZtrVarX8SSYSeP1qAXKphI7OTrR1tMFgMIDmLS8uY31jA4ODg+i71luXvNsAtgKwDEo+D61Ox6BUGhRtG5sb0Ol06O3tPTMvl83hzcIb6PUGDI/+jR1AkiRsB7YR2d+HyWKGw25Hi9fH+yy8XoDf78fde3fR2uq7pLt9+FkD2AomzOXyWHy7hFJJwsjIMIwm45lZBPzyyir8a6tob2vH6NjYiXnFYhF//P4MaytruHf/DvoH+yGIIkc5/XZnexvpdAY6rR4WmxUajYj//fYbBocGMT4xeeF8S+sez9ENYCsAWyqVsLy0ipfzr9HT3YGbU5MwVAAXCrC5uYHNjU1epau7C13d3UfRm06nMf/iJULBPXT2dOJaXy9cbtcRfUtSCft7ewiHI9gN7SEUDGKg/xombk7CbDVDwOXF1F8WWAKPRrU6kmhzeXkNiwtv0Nruw+jYKOx2e0WKTKVSWFtdRSi0D4fDwSWMy+mE1WYFUfKvvz5EOpXmyFVzcvmvwKyQzmSQSCRhMZthtVpBZyOBbLXaWGgZDPoLU/NfEljqta2t+bG1tYXR0WG0tLRUNBzl2vW1dcy/fAW3242+vj5otRrYbFauPTXacnOBI0sA1tc38PvsU7S2tnJ0KoKAolREPBqF3WZDR1cnkskkSlKJabkMbJGdy+MhAA0oFiVEo1HksllAESCVJMiKDKNBX55jNEFRyhpAo9XybyqNCwFLPC7LxOWomyy/sCvW+AMCBSDVWrmzE9zZxezMLHRaEX//5z/gcrurrjwz8xSbm5v4/vv7sJhNLILoo0BgI1OEEeDZbAbUkOjs7ER3bze3EOk7s8kEi9VSc95Uu7xSUWJHoGhOJOJse6PJxFFOa/p8Puj0et77NPPUDCxJ90QigVyW1KKG+51Ul9Wr7qoRr5qmkWF2dna4CUCtO4+nMmjh/TCezszCYDRg6tZ3cDidR+urQoT+zs/PY3FxBT///BM8HheXMfl8HqWSzGKIwKVBIMolGXaHA6ZKOfnU6dWSSf1v+j3l5VQ6zetoRJEdU6vTQtSIKBYKHMUUwXQuASKD7PY4YTKd7F7VBGwsFseaf5353+dtQT6XQzyRgCCIaG5uYmoi2f/lDAUHBzHMz79E9CCGiYkx9Pb1VCxdQsEQ58D29jYWPxqtyAYjY5J0OUwmsBPcgc3mwMTkJIzGytT3sWcvM53MH3VQxNPlQC6TZcegbyhI9EY99LpyTmXpJIgcQLTvcdVLTkCMoMgyO+bpsuxcYCn85+ZesDC4e+82mjxu9sxUKg2S9JFIBIVCEV2dHXCSx19eyNXkFxQtolA2/HkjHk/g2R9z2AuFMHTjOm4M34DRYDhiGTJoYGsHjx49xvDIMPr7+3hJipaSXIIoENUq/G+7zc40eN4g8Mg+Kp0qUJjlUoeHyBcKJKQ5J1POpDxdBoRmlYGlnFmtdj5v7+PfnwssHfLx4yfIpDL490//Orpu4gculZBMHnL+IePdv38fDqfjIvsfzT1dh1VahLzz3bt3iIQPcG2gHy7XB+qstik5wsbGJkcvUeTk5DhsVhuDRmXG0tsl2Ow2btIbjWfr1Y89DIFIkXecSlPpFEcilTLk4xpRA73BAIvFDJFvcsrQUl4kEOvZH74QsORLa6t+vH2ziKGh6xi8PsCUsrLi53xA94rZbJqBnZqagu8SXRNaLx6Lc0ng8riY8quNw+Qhpqenkc1lcfv2bc71ZCs2lyBwoa8ai9SvmgOfPJlGPJHEnTu3WGiwqhRFmIxGOFzOquryiDqLEitcNRLlksK5kJoMUAhEUsYCLDYzRyKxiqqWdVoddPrPm6rOjVhVFCwtLXM7rK+/Dz6vFyurfvbW3p4uTvBkUKrzKtWF59WMZKzdnV28evma6Wj85hi8Xm9VcGOxGH75zwNYzFZcHxqAVquHLJd4b6IxtQwhqqXygYROMpHkNanRTo5E39E8MvrpQdFGkU5rMjXLMkdhJpWGTFpYoIjTwmyhssfE0V9OhwJrjau6Y70IFdYErPpwu8FdbAW2YTZb2GCZbAZul5MLa4pcM9ONyFJcVcsUNbu7u0x7JFBIoVaiH2qO7++F8XxuHrlcDlPf3URrmw8G/dninEqAB788QFtbG27dusX1XDm3SZz3y8BRDCvcqyVjUwTRZfdZECXe7ygnKpQTc0insyjJEosTApGc1mKx8POVB4GoPfksisJ5lHI00ToB/WeNM8DSA2YyGS6Q6e7weN6h78j7Kcetrvqh1ergcNrhdjtQkmSEQnscCdRfpa6LOra3d/D8+Twb+ubkOEdNtUFzHz78L3dwJsdHmSbVCCjXjDK2t7YQjccwMjKC5ubmE0sdf9PnuAPJdPZc7n0kykyTJIqy2Ryy2SwUtT7XiLDZbJyHaV9KReSk9O/zSjtyKBKTUkFCc0vzZ6ffc3NsPB5DYCvAFOf1tbCRj9MLGW8vtI93WwFObkRbJGTMVLsJgNfnZe9WB833+9fx6PFjLikmxseh1bz3dnJqzpHlazB6s4DeMOjp64PTbsfhYfJIMZYkiTs2docdToeDI7Ga+KA0QRqgkC8wIEVJQj5bBlaSZb7gpii222283vHnowg9D8RqjqmKKVrvqoRRLSxQhYoVLmGCwSCohiXVSHn1uKghEKicIIAPolF+j6e7pxvNTU1MUaqhKMLpiityEEFwNwiv1werzcbrkzLkh5fBRbckFTnntbQ0s2OcLuDLBCjURHFEr+FwmMsy3fvWG4FoJjp9386jrbnQr+ObC7UY/XPM+WiOJWqhVtZ2IAgqoX1eH5qamlgoqYM8NBqNYWsrgHAkzMB2dHRwnhMUsJIkaqe/rW2tcLvcZcDUAvzUU5KRLxstpw1WbgpQ468sbL5VECs5Sk3iicDjFl0kypHU1dVx5gUsUr6Ud99tvuMuD5UhBCB1TEhYqXnqc3hrYw+gJmBVQxEtU14tFvPo7emGp6npxJ1hsVDE4uISEskkCxuX63LNigYwn26BCwFL2+ULefjX17kTRS3EtrbWE9FLCnNh4Q1L/pHR4RMi6tOP21ihVgtcGFhamCiW6lK6Z8wXCzCazZxXjXo95zFqBjx/Mc+lysTY6FEBX+uhGvM+3QKXAlbdlvIqKU9q1VEkOx1O+Hxebipsbe9gd28PQ/39cDgqv3nw6cdvrFDNAp8ErLoo1YZUmKczWW4zUv9VZzBgOxCA3WrF0I2hb7Kk+JLdqi7Aqg9IF8GxRJK4mt+yyGVy0Bl0/EoH92T/vA7bl4zBlZytrsAePyHXsYSkCG7X1as2vRIrfIOLXhmw36CtvqpHagD7VcFV+2EbwNZuq69q5v8BEiqx5onfdrkAAAAASUVORK5CYII=">
          <a:extLst>
            <a:ext uri="{FF2B5EF4-FFF2-40B4-BE49-F238E27FC236}">
              <a16:creationId xmlns:a16="http://schemas.microsoft.com/office/drawing/2014/main" id="{00000000-0008-0000-0100-0000030C0000}"/>
            </a:ext>
          </a:extLst>
        </xdr:cNvPr>
        <xdr:cNvSpPr>
          <a:spLocks noChangeAspect="1" noChangeArrowheads="1"/>
        </xdr:cNvSpPr>
      </xdr:nvSpPr>
      <xdr:spPr bwMode="auto">
        <a:xfrm>
          <a:off x="10332720" y="22547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428625</xdr:colOff>
      <xdr:row>59</xdr:row>
      <xdr:rowOff>171450</xdr:rowOff>
    </xdr:from>
    <xdr:to>
      <xdr:col>1</xdr:col>
      <xdr:colOff>491490</xdr:colOff>
      <xdr:row>59</xdr:row>
      <xdr:rowOff>723900</xdr:rowOff>
    </xdr:to>
    <xdr:pic>
      <xdr:nvPicPr>
        <xdr:cNvPr id="5" name="Imagen 4">
          <a:extLst>
            <a:ext uri="{FF2B5EF4-FFF2-40B4-BE49-F238E27FC236}">
              <a16:creationId xmlns:a16="http://schemas.microsoft.com/office/drawing/2014/main" id="{DD1B4BD6-4A9F-CFD4-91B1-81ADCDCEAF2B}"/>
            </a:ext>
            <a:ext uri="{147F2762-F138-4A5C-976F-8EAC2B608ADB}">
              <a16:predDERef xmlns:a16="http://schemas.microsoft.com/office/drawing/2014/main" pred="{00000000-0008-0000-0100-0000030C0000}"/>
            </a:ext>
          </a:extLst>
        </xdr:cNvPr>
        <xdr:cNvPicPr>
          <a:picLocks noChangeAspect="1"/>
        </xdr:cNvPicPr>
      </xdr:nvPicPr>
      <xdr:blipFill>
        <a:blip xmlns:r="http://schemas.openxmlformats.org/officeDocument/2006/relationships" r:embed="rId4"/>
        <a:stretch>
          <a:fillRect/>
        </a:stretch>
      </xdr:blipFill>
      <xdr:spPr>
        <a:xfrm>
          <a:off x="428625" y="23755350"/>
          <a:ext cx="1562100" cy="552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6" t="s">
        <v>1</v>
      </c>
      <c r="B2" s="46"/>
      <c r="C2" s="46"/>
      <c r="D2" s="46"/>
      <c r="E2" s="46"/>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5" t="s">
        <v>20</v>
      </c>
      <c r="B10" s="36">
        <v>45589</v>
      </c>
      <c r="C10" s="49" t="s">
        <v>21</v>
      </c>
      <c r="D10" s="49"/>
      <c r="E10" s="49"/>
      <c r="F10" s="16" t="s">
        <v>19</v>
      </c>
      <c r="G10" s="17" t="s">
        <v>15</v>
      </c>
      <c r="H10" s="16" t="s">
        <v>16</v>
      </c>
      <c r="K10" s="6"/>
      <c r="L10" s="6"/>
      <c r="M10" s="6"/>
      <c r="N10" s="6"/>
      <c r="O10" s="6"/>
      <c r="P10" s="6"/>
    </row>
    <row r="11" spans="1:16" s="1" customFormat="1" ht="13.15">
      <c r="A11" s="34"/>
      <c r="B11" s="34"/>
      <c r="C11" s="34"/>
      <c r="D11" s="34"/>
      <c r="E11" s="34"/>
      <c r="F11" s="34"/>
      <c r="G11" s="34"/>
      <c r="H11" s="34"/>
      <c r="K11" s="6"/>
      <c r="L11" s="6"/>
      <c r="M11" s="6"/>
      <c r="N11" s="6"/>
      <c r="O11" s="6"/>
      <c r="P11" s="6"/>
    </row>
    <row r="12" spans="1:16" s="1" customFormat="1" ht="13.15">
      <c r="K12" s="6"/>
      <c r="L12" s="6"/>
      <c r="M12" s="6"/>
      <c r="N12" s="6"/>
      <c r="O12" s="6"/>
      <c r="P12" s="6"/>
    </row>
    <row r="13" spans="1:16" s="1" customFormat="1" ht="13.15">
      <c r="H13" s="24"/>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1"/>
  <sheetViews>
    <sheetView tabSelected="1" view="pageBreakPreview" zoomScaleNormal="100" zoomScaleSheetLayoutView="100" workbookViewId="0">
      <selection activeCell="A20" sqref="A20:F20"/>
    </sheetView>
  </sheetViews>
  <sheetFormatPr defaultColWidth="9.140625" defaultRowHeight="15" customHeight="1"/>
  <cols>
    <col min="1" max="1" width="22.5703125" style="25" customWidth="1"/>
    <col min="2" max="2" width="29" style="25" customWidth="1"/>
    <col min="3" max="3" width="34.42578125" style="25" customWidth="1"/>
    <col min="4" max="4" width="29.140625" style="25" customWidth="1"/>
    <col min="5" max="5" width="19.7109375" style="25" customWidth="1"/>
    <col min="6" max="6" width="20.425781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ht="14.25">
      <c r="A2" s="112" t="s">
        <v>22</v>
      </c>
      <c r="B2" s="112"/>
      <c r="C2" s="112"/>
      <c r="D2" s="112"/>
      <c r="E2" s="112"/>
      <c r="F2" s="24"/>
      <c r="G2" s="24"/>
      <c r="H2" s="24"/>
      <c r="I2" s="24"/>
    </row>
    <row r="3" spans="1:9" ht="23.25" customHeight="1">
      <c r="A3" s="26"/>
      <c r="B3" s="26"/>
      <c r="C3" s="26"/>
      <c r="D3" s="26"/>
      <c r="E3" s="26"/>
      <c r="F3" s="26"/>
      <c r="G3" s="24"/>
      <c r="H3" s="24"/>
      <c r="I3" s="24"/>
    </row>
    <row r="4" spans="1:9">
      <c r="A4" s="113" t="s">
        <v>23</v>
      </c>
      <c r="B4" s="113"/>
      <c r="C4" s="113"/>
      <c r="D4" s="113"/>
      <c r="E4" s="113"/>
      <c r="F4" s="113"/>
      <c r="G4" s="27"/>
      <c r="H4" s="26"/>
      <c r="I4" s="24"/>
    </row>
    <row r="5" spans="1:9">
      <c r="A5" s="60" t="s">
        <v>24</v>
      </c>
      <c r="B5" s="60"/>
      <c r="C5" s="60"/>
      <c r="D5" s="60" t="s">
        <v>25</v>
      </c>
      <c r="E5" s="60"/>
      <c r="F5" s="60"/>
      <c r="G5" s="28"/>
    </row>
    <row r="6" spans="1:9" ht="20.25" customHeight="1">
      <c r="A6" s="114" t="s">
        <v>26</v>
      </c>
      <c r="B6" s="114"/>
      <c r="C6" s="114"/>
      <c r="D6" s="73" t="s">
        <v>27</v>
      </c>
      <c r="E6" s="74"/>
      <c r="F6" s="75"/>
      <c r="G6" s="28"/>
    </row>
    <row r="7" spans="1:9">
      <c r="A7" s="60" t="s">
        <v>28</v>
      </c>
      <c r="B7" s="60"/>
      <c r="C7" s="60"/>
      <c r="D7" s="60" t="s">
        <v>29</v>
      </c>
      <c r="E7" s="60"/>
      <c r="F7" s="60"/>
      <c r="G7" s="28"/>
    </row>
    <row r="8" spans="1:9" ht="20.25" customHeight="1">
      <c r="A8" s="110">
        <v>845000038</v>
      </c>
      <c r="B8" s="110"/>
      <c r="C8" s="110"/>
      <c r="D8" s="110" t="s">
        <v>30</v>
      </c>
      <c r="E8" s="110"/>
      <c r="F8" s="110"/>
      <c r="G8" s="28"/>
    </row>
    <row r="9" spans="1:9">
      <c r="A9" s="60" t="s">
        <v>31</v>
      </c>
      <c r="B9" s="60"/>
      <c r="C9" s="60"/>
      <c r="D9" s="111">
        <v>45559</v>
      </c>
      <c r="E9" s="65"/>
      <c r="F9" s="65"/>
      <c r="G9" s="28"/>
    </row>
    <row r="10" spans="1:9">
      <c r="A10" s="60" t="s">
        <v>32</v>
      </c>
      <c r="B10" s="60"/>
      <c r="C10" s="60"/>
      <c r="D10" s="111">
        <v>46287</v>
      </c>
      <c r="E10" s="65"/>
      <c r="F10" s="65"/>
      <c r="G10" s="28"/>
    </row>
    <row r="11" spans="1:9">
      <c r="A11" s="60" t="s">
        <v>33</v>
      </c>
      <c r="B11" s="60"/>
      <c r="C11" s="60"/>
      <c r="D11" s="60"/>
      <c r="E11" s="60"/>
      <c r="F11" s="60"/>
      <c r="G11" s="28"/>
    </row>
    <row r="12" spans="1:9" ht="234" customHeight="1">
      <c r="A12" s="105" t="s">
        <v>34</v>
      </c>
      <c r="B12" s="105"/>
      <c r="C12" s="105"/>
      <c r="D12" s="105"/>
      <c r="E12" s="105"/>
      <c r="F12" s="105"/>
      <c r="G12" s="28"/>
    </row>
    <row r="13" spans="1:9">
      <c r="A13" s="60" t="s">
        <v>35</v>
      </c>
      <c r="B13" s="60"/>
      <c r="C13" s="60"/>
      <c r="D13" s="60"/>
      <c r="E13" s="60"/>
      <c r="F13" s="60"/>
      <c r="G13" s="28"/>
    </row>
    <row r="14" spans="1:9" ht="106.5" customHeight="1">
      <c r="A14" s="42" t="s">
        <v>36</v>
      </c>
      <c r="B14" s="43" t="s">
        <v>37</v>
      </c>
      <c r="C14" s="107" t="s">
        <v>38</v>
      </c>
      <c r="D14" s="108"/>
      <c r="E14" s="108"/>
      <c r="F14" s="109"/>
      <c r="G14" s="28"/>
    </row>
    <row r="15" spans="1:9">
      <c r="A15" s="88" t="s">
        <v>39</v>
      </c>
      <c r="B15" s="88"/>
      <c r="C15" s="88"/>
      <c r="D15" s="88"/>
      <c r="E15" s="88"/>
      <c r="F15" s="88"/>
      <c r="G15" s="28"/>
    </row>
    <row r="16" spans="1:9" s="41" customFormat="1" ht="22.5" customHeight="1">
      <c r="A16" s="96" t="s">
        <v>40</v>
      </c>
      <c r="B16" s="96"/>
      <c r="C16" s="44" t="s">
        <v>41</v>
      </c>
      <c r="D16" s="45" t="s">
        <v>42</v>
      </c>
      <c r="E16" s="106" t="s">
        <v>43</v>
      </c>
      <c r="F16" s="106"/>
      <c r="G16" s="40"/>
    </row>
    <row r="17" spans="1:10">
      <c r="A17" s="88" t="s">
        <v>44</v>
      </c>
      <c r="B17" s="88"/>
      <c r="C17" s="88"/>
      <c r="D17" s="88"/>
      <c r="E17" s="88"/>
      <c r="F17" s="88"/>
      <c r="G17" s="28"/>
    </row>
    <row r="18" spans="1:10" s="41" customFormat="1" ht="34.5" customHeight="1">
      <c r="A18" s="84" t="s">
        <v>45</v>
      </c>
      <c r="B18" s="84"/>
      <c r="C18" s="84"/>
      <c r="D18" s="84"/>
      <c r="E18" s="84"/>
      <c r="F18" s="84"/>
      <c r="G18" s="40"/>
    </row>
    <row r="19" spans="1:10" ht="15" customHeight="1">
      <c r="A19" s="85" t="s">
        <v>46</v>
      </c>
      <c r="B19" s="85"/>
      <c r="C19" s="85"/>
      <c r="D19" s="85"/>
      <c r="E19" s="85"/>
      <c r="F19" s="85"/>
      <c r="G19" s="28"/>
    </row>
    <row r="20" spans="1:10" ht="48.75" customHeight="1">
      <c r="A20" s="73" t="s">
        <v>47</v>
      </c>
      <c r="B20" s="74"/>
      <c r="C20" s="74"/>
      <c r="D20" s="74"/>
      <c r="E20" s="74"/>
      <c r="F20" s="75"/>
      <c r="G20" s="28"/>
    </row>
    <row r="21" spans="1:10">
      <c r="A21" s="86" t="s">
        <v>48</v>
      </c>
      <c r="B21" s="86"/>
      <c r="C21" s="86"/>
      <c r="D21" s="86"/>
      <c r="E21" s="86"/>
      <c r="F21" s="86"/>
      <c r="G21" s="28"/>
    </row>
    <row r="22" spans="1:10">
      <c r="A22" s="87" t="s">
        <v>49</v>
      </c>
      <c r="B22" s="87" t="s">
        <v>50</v>
      </c>
      <c r="C22" s="76" t="s">
        <v>51</v>
      </c>
      <c r="D22" s="76" t="s">
        <v>52</v>
      </c>
      <c r="E22" s="53" t="s">
        <v>53</v>
      </c>
      <c r="F22" s="55"/>
      <c r="G22" s="28"/>
    </row>
    <row r="23" spans="1:10" ht="14.25">
      <c r="A23" s="87"/>
      <c r="B23" s="87"/>
      <c r="C23" s="77"/>
      <c r="D23" s="77"/>
      <c r="E23" s="19" t="s">
        <v>54</v>
      </c>
      <c r="F23" s="19" t="s">
        <v>55</v>
      </c>
      <c r="G23" s="28"/>
    </row>
    <row r="24" spans="1:10" ht="21" customHeight="1">
      <c r="A24" s="78" t="s">
        <v>56</v>
      </c>
      <c r="B24" s="22" t="s">
        <v>57</v>
      </c>
      <c r="C24" s="21" t="s">
        <v>58</v>
      </c>
      <c r="D24" s="21" t="s">
        <v>58</v>
      </c>
      <c r="E24" s="21" t="s">
        <v>58</v>
      </c>
      <c r="F24" s="21" t="s">
        <v>58</v>
      </c>
      <c r="G24" s="28"/>
    </row>
    <row r="25" spans="1:10" ht="21" customHeight="1">
      <c r="A25" s="79"/>
      <c r="B25" s="22" t="s">
        <v>59</v>
      </c>
      <c r="C25" s="21" t="s">
        <v>58</v>
      </c>
      <c r="D25" s="21" t="s">
        <v>58</v>
      </c>
      <c r="E25" s="21" t="s">
        <v>58</v>
      </c>
      <c r="F25" s="21" t="s">
        <v>58</v>
      </c>
      <c r="G25" s="28"/>
    </row>
    <row r="26" spans="1:10" ht="28.5">
      <c r="A26" s="80"/>
      <c r="B26" s="22" t="s">
        <v>60</v>
      </c>
      <c r="C26" s="21" t="s">
        <v>58</v>
      </c>
      <c r="D26" s="21" t="s">
        <v>58</v>
      </c>
      <c r="E26" s="21" t="s">
        <v>58</v>
      </c>
      <c r="F26" s="21" t="s">
        <v>58</v>
      </c>
      <c r="G26" s="28"/>
    </row>
    <row r="27" spans="1:10" ht="64.5" customHeight="1">
      <c r="A27" s="20" t="s">
        <v>61</v>
      </c>
      <c r="B27" s="22" t="s">
        <v>62</v>
      </c>
      <c r="C27" s="21" t="s">
        <v>58</v>
      </c>
      <c r="D27" s="21" t="s">
        <v>58</v>
      </c>
      <c r="E27" s="21" t="s">
        <v>58</v>
      </c>
      <c r="F27" s="21" t="s">
        <v>58</v>
      </c>
      <c r="G27" s="28"/>
    </row>
    <row r="28" spans="1:10" ht="86.25">
      <c r="A28" s="20" t="s">
        <v>63</v>
      </c>
      <c r="B28" s="22" t="s">
        <v>64</v>
      </c>
      <c r="C28" s="21" t="s">
        <v>65</v>
      </c>
      <c r="D28" s="37">
        <v>1004608</v>
      </c>
      <c r="E28" s="38">
        <v>45759</v>
      </c>
      <c r="F28" s="38">
        <v>46124</v>
      </c>
      <c r="G28" s="28"/>
    </row>
    <row r="29" spans="1:10">
      <c r="A29" s="81" t="s">
        <v>66</v>
      </c>
      <c r="B29" s="82"/>
      <c r="C29" s="82"/>
      <c r="D29" s="82"/>
      <c r="E29" s="82"/>
      <c r="F29" s="83"/>
      <c r="G29" s="28"/>
    </row>
    <row r="30" spans="1:10">
      <c r="A30" s="19" t="s">
        <v>67</v>
      </c>
      <c r="B30" s="19" t="s">
        <v>68</v>
      </c>
      <c r="C30" s="19" t="s">
        <v>69</v>
      </c>
      <c r="D30" s="81" t="s">
        <v>70</v>
      </c>
      <c r="E30" s="83"/>
      <c r="F30" s="19" t="s">
        <v>71</v>
      </c>
      <c r="G30" s="28"/>
      <c r="H30" s="32" t="s">
        <v>72</v>
      </c>
      <c r="I30" s="32" t="s">
        <v>73</v>
      </c>
      <c r="J30" s="32" t="s">
        <v>74</v>
      </c>
    </row>
    <row r="31" spans="1:10" ht="152.25" customHeight="1">
      <c r="A31" s="20" t="s">
        <v>75</v>
      </c>
      <c r="B31" s="21" t="s">
        <v>76</v>
      </c>
      <c r="C31" s="21" t="s">
        <v>77</v>
      </c>
      <c r="D31" s="73" t="s">
        <v>78</v>
      </c>
      <c r="E31" s="75"/>
      <c r="F31" s="21" t="s">
        <v>79</v>
      </c>
      <c r="G31" s="28"/>
      <c r="H31" s="32" t="s">
        <v>76</v>
      </c>
      <c r="I31" s="32" t="s">
        <v>80</v>
      </c>
      <c r="J31" s="32" t="s">
        <v>81</v>
      </c>
    </row>
    <row r="32" spans="1:10" ht="14.25">
      <c r="A32" s="20" t="s">
        <v>82</v>
      </c>
      <c r="B32" s="21" t="s">
        <v>58</v>
      </c>
      <c r="C32" s="21" t="s">
        <v>58</v>
      </c>
      <c r="D32" s="73" t="s">
        <v>58</v>
      </c>
      <c r="E32" s="75"/>
      <c r="F32" s="21" t="s">
        <v>58</v>
      </c>
      <c r="G32" s="28"/>
      <c r="H32" s="32" t="s">
        <v>83</v>
      </c>
      <c r="I32" s="33" t="s">
        <v>77</v>
      </c>
      <c r="J32" s="32" t="s">
        <v>84</v>
      </c>
    </row>
    <row r="33" spans="1:10" ht="14.25">
      <c r="A33" s="20" t="s">
        <v>85</v>
      </c>
      <c r="B33" s="21" t="s">
        <v>58</v>
      </c>
      <c r="C33" s="21" t="s">
        <v>58</v>
      </c>
      <c r="D33" s="73" t="s">
        <v>58</v>
      </c>
      <c r="E33" s="75"/>
      <c r="F33" s="21" t="s">
        <v>58</v>
      </c>
      <c r="G33" s="28"/>
      <c r="H33" s="32" t="s">
        <v>86</v>
      </c>
      <c r="I33" s="33" t="s">
        <v>87</v>
      </c>
      <c r="J33" s="32" t="s">
        <v>58</v>
      </c>
    </row>
    <row r="34" spans="1:10" ht="28.5">
      <c r="A34" s="20" t="s">
        <v>88</v>
      </c>
      <c r="B34" s="21" t="s">
        <v>58</v>
      </c>
      <c r="C34" s="21" t="s">
        <v>58</v>
      </c>
      <c r="D34" s="73" t="s">
        <v>58</v>
      </c>
      <c r="E34" s="75"/>
      <c r="F34" s="21" t="s">
        <v>58</v>
      </c>
      <c r="G34" s="28"/>
      <c r="H34" s="32" t="s">
        <v>89</v>
      </c>
      <c r="I34" s="32" t="s">
        <v>90</v>
      </c>
    </row>
    <row r="35" spans="1:10">
      <c r="A35" s="100" t="s">
        <v>91</v>
      </c>
      <c r="B35" s="101"/>
      <c r="C35" s="101"/>
      <c r="D35" s="101"/>
      <c r="E35" s="101"/>
      <c r="F35" s="102"/>
      <c r="G35" s="28"/>
      <c r="H35" s="32" t="s">
        <v>92</v>
      </c>
      <c r="I35" s="32" t="s">
        <v>93</v>
      </c>
    </row>
    <row r="36" spans="1:10">
      <c r="A36" s="96" t="s">
        <v>94</v>
      </c>
      <c r="B36" s="96"/>
      <c r="C36" s="31" t="s">
        <v>69</v>
      </c>
      <c r="D36" s="96" t="s">
        <v>70</v>
      </c>
      <c r="E36" s="96"/>
      <c r="F36" s="31" t="s">
        <v>95</v>
      </c>
      <c r="G36" s="28"/>
      <c r="H36" s="32" t="s">
        <v>96</v>
      </c>
      <c r="I36" s="33" t="s">
        <v>97</v>
      </c>
    </row>
    <row r="37" spans="1:10" ht="39.75" customHeight="1">
      <c r="A37" s="91" t="s">
        <v>98</v>
      </c>
      <c r="B37" s="91"/>
      <c r="C37" s="39" t="s">
        <v>99</v>
      </c>
      <c r="D37" s="103" t="s">
        <v>100</v>
      </c>
      <c r="E37" s="104"/>
      <c r="F37" s="39" t="s">
        <v>101</v>
      </c>
      <c r="G37" s="28"/>
      <c r="H37" s="32" t="s">
        <v>102</v>
      </c>
      <c r="I37" s="33" t="s">
        <v>101</v>
      </c>
    </row>
    <row r="38" spans="1:10">
      <c r="A38" s="97" t="s">
        <v>103</v>
      </c>
      <c r="B38" s="98"/>
      <c r="C38" s="98"/>
      <c r="D38" s="98"/>
      <c r="E38" s="98"/>
      <c r="F38" s="99"/>
      <c r="G38" s="28"/>
      <c r="I38" s="32" t="s">
        <v>104</v>
      </c>
    </row>
    <row r="39" spans="1:10">
      <c r="A39" s="96" t="s">
        <v>94</v>
      </c>
      <c r="B39" s="96"/>
      <c r="C39" s="31" t="s">
        <v>69</v>
      </c>
      <c r="D39" s="96" t="s">
        <v>70</v>
      </c>
      <c r="E39" s="96"/>
      <c r="F39" s="31" t="s">
        <v>95</v>
      </c>
      <c r="G39" s="28"/>
      <c r="I39" s="33" t="s">
        <v>105</v>
      </c>
    </row>
    <row r="40" spans="1:10" ht="78" customHeight="1">
      <c r="A40" s="92" t="s">
        <v>106</v>
      </c>
      <c r="B40" s="93"/>
      <c r="C40" s="39" t="s">
        <v>99</v>
      </c>
      <c r="D40" s="94" t="s">
        <v>107</v>
      </c>
      <c r="E40" s="95"/>
      <c r="F40" s="21" t="s">
        <v>101</v>
      </c>
      <c r="G40" s="28"/>
      <c r="H40" s="32" t="s">
        <v>107</v>
      </c>
    </row>
    <row r="41" spans="1:10">
      <c r="A41" s="60" t="s">
        <v>108</v>
      </c>
      <c r="B41" s="60"/>
      <c r="C41" s="60"/>
      <c r="D41" s="60"/>
      <c r="E41" s="60"/>
      <c r="F41" s="60"/>
      <c r="G41" s="28"/>
      <c r="H41" s="32" t="s">
        <v>109</v>
      </c>
    </row>
    <row r="42" spans="1:10">
      <c r="A42" s="53" t="s">
        <v>110</v>
      </c>
      <c r="B42" s="54"/>
      <c r="C42" s="55"/>
      <c r="D42" s="56">
        <v>6</v>
      </c>
      <c r="E42" s="57"/>
      <c r="F42" s="58"/>
      <c r="G42" s="28"/>
      <c r="H42" s="32" t="s">
        <v>111</v>
      </c>
    </row>
    <row r="43" spans="1:10" ht="158.25" customHeight="1">
      <c r="A43" s="61" t="s">
        <v>112</v>
      </c>
      <c r="B43" s="62"/>
      <c r="C43" s="62"/>
      <c r="D43" s="62"/>
      <c r="E43" s="62"/>
      <c r="F43" s="63"/>
      <c r="G43" s="28"/>
      <c r="H43" s="32" t="s">
        <v>113</v>
      </c>
    </row>
    <row r="44" spans="1:10" ht="14.25">
      <c r="A44" s="60" t="s">
        <v>114</v>
      </c>
      <c r="B44" s="64"/>
      <c r="C44" s="64"/>
      <c r="D44" s="64"/>
      <c r="E44" s="64"/>
      <c r="F44" s="64"/>
      <c r="G44" s="28"/>
    </row>
    <row r="45" spans="1:10">
      <c r="A45" s="60" t="s">
        <v>115</v>
      </c>
      <c r="B45" s="60"/>
      <c r="C45" s="60"/>
      <c r="D45" s="65" t="s">
        <v>116</v>
      </c>
      <c r="E45" s="65"/>
      <c r="F45" s="65"/>
      <c r="G45" s="28"/>
    </row>
    <row r="46" spans="1:10">
      <c r="A46" s="60" t="s">
        <v>117</v>
      </c>
      <c r="B46" s="60"/>
      <c r="C46" s="60"/>
      <c r="D46" s="65" t="s">
        <v>118</v>
      </c>
      <c r="E46" s="65"/>
      <c r="F46" s="65"/>
      <c r="G46" s="28"/>
    </row>
    <row r="47" spans="1:10">
      <c r="A47" s="60" t="s">
        <v>119</v>
      </c>
      <c r="B47" s="60"/>
      <c r="C47" s="60"/>
      <c r="D47" s="89">
        <v>9617696</v>
      </c>
      <c r="E47" s="89"/>
      <c r="F47" s="89"/>
      <c r="G47" s="28"/>
    </row>
    <row r="48" spans="1:10">
      <c r="A48" s="60" t="s">
        <v>120</v>
      </c>
      <c r="B48" s="60"/>
      <c r="C48" s="60"/>
      <c r="D48" s="89">
        <v>0</v>
      </c>
      <c r="E48" s="89"/>
      <c r="F48" s="89"/>
      <c r="G48" s="28"/>
    </row>
    <row r="49" spans="1:7">
      <c r="A49" s="60" t="s">
        <v>121</v>
      </c>
      <c r="B49" s="60"/>
      <c r="C49" s="60"/>
      <c r="D49" s="89">
        <v>0</v>
      </c>
      <c r="E49" s="89"/>
      <c r="F49" s="89"/>
      <c r="G49" s="28"/>
    </row>
    <row r="50" spans="1:7" ht="32.25" customHeight="1">
      <c r="A50" s="60" t="s">
        <v>122</v>
      </c>
      <c r="B50" s="60"/>
      <c r="C50" s="60"/>
      <c r="D50" s="90">
        <f>+D47+D49</f>
        <v>9617696</v>
      </c>
      <c r="E50" s="90"/>
      <c r="F50" s="90"/>
      <c r="G50" s="28"/>
    </row>
    <row r="51" spans="1:7" ht="14.25">
      <c r="A51" s="60" t="s">
        <v>123</v>
      </c>
      <c r="B51" s="64"/>
      <c r="C51" s="64"/>
      <c r="D51" s="64"/>
      <c r="E51" s="64"/>
      <c r="F51" s="64"/>
      <c r="G51" s="28"/>
    </row>
    <row r="52" spans="1:7" ht="152.25" customHeight="1">
      <c r="A52" s="115" t="s">
        <v>124</v>
      </c>
      <c r="B52" s="116"/>
      <c r="C52" s="116"/>
      <c r="D52" s="116"/>
      <c r="E52" s="116"/>
      <c r="F52" s="117"/>
      <c r="G52" s="28"/>
    </row>
    <row r="53" spans="1:7">
      <c r="A53" s="60" t="s">
        <v>125</v>
      </c>
      <c r="B53" s="60"/>
      <c r="C53" s="60"/>
      <c r="D53" s="60"/>
      <c r="E53" s="60"/>
      <c r="F53" s="60"/>
      <c r="G53" s="28"/>
    </row>
    <row r="54" spans="1:7" ht="14.25">
      <c r="A54" s="60" t="s">
        <v>126</v>
      </c>
      <c r="B54" s="64"/>
      <c r="C54" s="64"/>
      <c r="D54" s="64"/>
      <c r="E54" s="64"/>
      <c r="F54" s="64"/>
      <c r="G54" s="28"/>
    </row>
    <row r="55" spans="1:7" ht="14.25" customHeight="1">
      <c r="A55" s="59" t="s">
        <v>127</v>
      </c>
      <c r="B55" s="59"/>
      <c r="C55" s="59"/>
      <c r="D55" s="59"/>
      <c r="E55" s="59"/>
      <c r="F55" s="59"/>
      <c r="G55" s="28"/>
    </row>
    <row r="56" spans="1:7" ht="14.25" customHeight="1">
      <c r="A56" s="59" t="s">
        <v>128</v>
      </c>
      <c r="B56" s="59"/>
      <c r="C56" s="59"/>
      <c r="D56" s="59"/>
      <c r="E56" s="59"/>
      <c r="F56" s="59"/>
      <c r="G56"/>
    </row>
    <row r="57" spans="1:7" ht="37.5" customHeight="1">
      <c r="A57" s="66" t="s">
        <v>129</v>
      </c>
      <c r="B57" s="67"/>
      <c r="C57" s="67"/>
      <c r="D57" s="67"/>
      <c r="E57" s="67"/>
      <c r="F57" s="68"/>
      <c r="G57" s="28"/>
    </row>
    <row r="58" spans="1:7" ht="14.25" customHeight="1">
      <c r="A58" s="69" t="s">
        <v>130</v>
      </c>
      <c r="B58" s="70"/>
      <c r="C58" s="70"/>
      <c r="D58" s="70"/>
      <c r="E58" s="70"/>
      <c r="F58" s="71"/>
      <c r="G58" s="28"/>
    </row>
    <row r="59" spans="1:7" ht="14.25" customHeight="1">
      <c r="A59" s="69" t="s">
        <v>131</v>
      </c>
      <c r="B59" s="70"/>
      <c r="C59" s="70"/>
      <c r="D59" s="70"/>
      <c r="E59" s="70"/>
      <c r="F59" s="71"/>
      <c r="G59" s="28"/>
    </row>
    <row r="60" spans="1:7" ht="66" customHeight="1">
      <c r="A60" s="72" t="s">
        <v>129</v>
      </c>
      <c r="B60" s="62"/>
      <c r="C60" s="62"/>
      <c r="D60" s="62"/>
      <c r="E60" s="62"/>
      <c r="F60" s="63"/>
      <c r="G60" s="28"/>
    </row>
    <row r="61" spans="1:7" ht="14.25">
      <c r="A61" s="29"/>
      <c r="B61" s="29"/>
      <c r="C61" s="29"/>
      <c r="D61" s="29"/>
      <c r="E61" s="29"/>
      <c r="F61" s="29"/>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4">
    <dataValidation type="list" allowBlank="1" showInputMessage="1" showErrorMessage="1" sqref="C31" xr:uid="{00000000-0002-0000-0100-000000000000}">
      <formula1>$I$34:$I$39</formula1>
    </dataValidation>
    <dataValidation type="list" allowBlank="1" showInputMessage="1" showErrorMessage="1" sqref="B31" xr:uid="{00000000-0002-0000-0100-000001000000}">
      <formula1>$H$34:$H$40</formula1>
    </dataValidation>
    <dataValidation type="list" allowBlank="1" showInputMessage="1" showErrorMessage="1" sqref="F37 F40" xr:uid="{00000000-0002-0000-0100-000002000000}">
      <formula1>$I$40:$I$42</formula1>
    </dataValidation>
    <dataValidation type="list" allowBlank="1" showInputMessage="1" showErrorMessage="1" sqref="D40:E40" xr:uid="{00000000-0002-0000-0100-000003000000}">
      <formula1>$H$43:$H$47</formula1>
    </dataValidation>
  </dataValidations>
  <printOptions horizontalCentered="1"/>
  <pageMargins left="0.70866141732283472" right="0.70866141732283472" top="0.74803149606299213" bottom="0.74803149606299213" header="0.31496062992125984" footer="0.31496062992125984"/>
  <pageSetup scale="58"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DEFA137-E2F2-42EE-8D2B-6F4E28020D64}"/>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2026-02-02T19:16:55Z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