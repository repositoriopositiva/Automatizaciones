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Bogotá/INFORME 09 SEPTIEMBRE-2025 0562-2020/"/>
    </mc:Choice>
  </mc:AlternateContent>
  <xr:revisionPtr revIDLastSave="138" documentId="13_ncr:1_{54A82D3B-D80A-4830-9B3A-C60655977D92}" xr6:coauthVersionLast="47" xr6:coauthVersionMax="47" xr10:uidLastSave="{31C61E9E-A4AA-4983-9AC7-83F20F05B53C}"/>
  <bookViews>
    <workbookView xWindow="-108" yWindow="-108" windowWidth="23256" windowHeight="1257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<sst xmlns="http://schemas.openxmlformats.org/spreadsheetml/2006/main" count="193" uniqueCount="149">
  <si>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</si>
  <si>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</si>
  <si>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</si>
  <si>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</si>
  <si>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</si>
  <si>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</si>
  <si>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</si>
  <si>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</si>
  <si>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</si>
  <si>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</si>
  <si>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</si>
  <si>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</si>
  <si>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</si>
  <si>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</si>
  <si>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</si>
  <si>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</si>
  <si>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</si>
  <si>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</si>
  <si>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</si>
  <si>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</si>
  <si>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</si>
  <si>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</si>
  <si>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</si>
  <si>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</si>
  <si>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0562-2020</t>
  </si>
  <si>
    <t>PRESTACIÓN DE SERVICIOS</t>
  </si>
  <si>
    <t>No. de NIT</t>
  </si>
  <si>
    <t>Nombre y/o razón social del proveedor</t>
  </si>
  <si>
    <t>SOCIEDAD MEDICA DE ORTOPEDIA Y ACCIDENTES LABORALES S.A</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</si>
  <si>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</si>
  <si>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</si>
  <si>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</si>
  <si>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Accidentes Personales (AP Educativo Generación Positiva, AP Colectivos, AP Corto Plazo, AP Individual), Vida Individual, Vida Grupo, Planes de salud (complicaciones quirúrgicas)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 EL CONTRATISTA el valor de los servicios de salud, en caso de la atención de:
1. Urgencias
2. Hospitalización
3. Consulta Externa y Especializada
3. Imágenes Diagnósticas
4. Laboratorio Clínico
5. Terapia física, ocupacional, respiratoria y de lenguaje
6. Procedimientos Quirúrgicos
7. Demás servicios del Portafolio que cuentan con habilitación y cumplimiento normativo de habilitación, de acuerdo a la oferta de servicios presentada por EL CONTRATISTA y que forma parte integrante del contrato.</t>
  </si>
  <si>
    <t>3. MODIFICACIONES AL CONTRATO</t>
  </si>
  <si>
    <r>
      <t xml:space="preserve">Otrosí No. </t>
    </r>
    <r>
      <rPr>
        <sz val="11"/>
        <color theme="1"/>
        <rFont val="Arial"/>
        <family val="2"/>
      </rPr>
      <t>1</t>
    </r>
  </si>
  <si>
    <r>
      <t xml:space="preserve">Fecha de modificación: 
</t>
    </r>
    <r>
      <rPr>
        <sz val="11"/>
        <color theme="1"/>
        <rFont val="Arial"/>
        <family val="2"/>
      </rPr>
      <t>19-10-2022</t>
    </r>
  </si>
  <si>
    <r>
      <t xml:space="preserve">Objeto de la modificación: </t>
    </r>
    <r>
      <rPr>
        <sz val="11"/>
        <color rgb="FF000000"/>
        <rFont val="Arial"/>
        <family val="2"/>
      </rPr>
      <t>Modificar la CLÁUSULA QUINTA- TARIFAS, Adicionar la CLÁUSULA OCTAVA – OBLIGACIONES DEL CONTRATISTA, CLÁUSULA NOVENA – OBLIGACIONES DE POSITIVA, modificar la CLÁUSULA DÉCIMA PRIMERA DURACIÓN, para lo cual quedará así: El plazo de duración de la aceptación de oferta comercial 0562-2020, será hasta el DIECINUEVE (19) de octubre de 2024, inclusive y la CLÁUSULA TRIGÉSIMA TERCERA- MANUAL DE REQUISITOS Y OBLIGACIONES DE CONTRATISTAS EN SEGURIDAD, SALUD OCUPACIONAL Y AMBIENTE.</t>
    </r>
  </si>
  <si>
    <r>
      <t xml:space="preserve">Otrosí No. </t>
    </r>
    <r>
      <rPr>
        <sz val="11"/>
        <color theme="1"/>
        <rFont val="Arial"/>
        <family val="2"/>
      </rPr>
      <t>2</t>
    </r>
  </si>
  <si>
    <r>
      <t xml:space="preserve">Fecha de modificación: 
</t>
    </r>
    <r>
      <rPr>
        <sz val="11"/>
        <color theme="1"/>
        <rFont val="Arial"/>
        <family val="2"/>
      </rPr>
      <t>18-10-2024</t>
    </r>
  </si>
  <si>
    <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DURACIÓN,la cual quedará así: Las partes acuerdan modificar las vigencias del contrato de No. 0562-2020 hasta el 16 de noviembre del 2026 inclusive, Modificar la CLÁUSULA de LUGAR DE EJECUCIÓN, Modificar la CLÁUSULA de INTERVENTORÍA, Modificar la CLÁUSULA de GARANTÍAS, Modificar la CLÁUSULA de CONTINUIDAD DEL SERVICIO; Incluir la CLÁUSULA de SOLUCION DE CONTROVERSIAS Y MECANISMO ALTERNATIVO DE SOLUCIÓN DE CONFLICTOS; Modificar la CLÁUSULA de MANUAL DE REQUISITOS Y OBLIGACIONES DE CONTRATISTAS EN SEGURIDAD, SALUD OCUPACIONAL Y AMBIENTE;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</si>
  <si>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</si>
  <si>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</si>
  <si>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</si>
  <si>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</si>
  <si>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</si>
  <si>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</si>
  <si>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</si>
  <si>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</si>
  <si>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</si>
  <si>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</si>
  <si>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</si>
  <si>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</si>
  <si>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</si>
  <si>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</si>
  <si>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</si>
  <si>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</si>
  <si>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</si>
  <si>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</si>
  <si>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</si>
  <si>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</si>
  <si>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</si>
  <si>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</si>
  <si>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</si>
  <si>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</si>
  <si>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</si>
  <si>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</si>
  <si>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</si>
  <si>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013000759718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</si>
  <si>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</si>
  <si>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</si>
  <si>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</si>
  <si>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</si>
  <si>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</si>
  <si>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</si>
  <si>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</si>
  <si>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</si>
  <si>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</si>
  <si>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</si>
  <si>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</si>
  <si>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</si>
  <si>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</si>
  <si>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</si>
  <si>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(Verificado en visita de seguimiento realizada el 10/10/2025)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</si>
  <si>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</si>
  <si>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</si>
  <si>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</si>
  <si>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</si>
  <si>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</si>
  <si>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</si>
  <si>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</si>
  <si>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</si>
  <si>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</si>
  <si>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</si>
  <si>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</si>
  <si>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</si>
  <si>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</si>
  <si>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</si>
  <si>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</si>
  <si>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</si>
  <si>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</si>
  <si>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</si>
  <si>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</si>
  <si>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</si>
  <si>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</si>
  <si>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</si>
  <si>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</si>
  <si>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</si>
  <si>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</si>
  <si>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</si>
  <si>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</si>
  <si>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</si>
  <si>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</si>
  <si>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</si>
  <si>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</si>
  <si>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</si>
  <si>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</si>
  <si>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</si>
  <si>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</si>
  <si>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</si>
  <si>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</si>
  <si>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</si>
  <si>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</si>
  <si>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</si>
  <si>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</si>
  <si>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</si>
  <si>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</si>
  <si>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</si>
  <si>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</si>
  <si>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</si>
  <si>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</si>
  <si>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 </t>
    </r>
    <r>
      <rPr>
        <sz val="11"/>
        <color rgb="FF000000"/>
        <rFont val="Arial"/>
      </rPr>
      <t xml:space="preserve">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tuvo 1 PQR, el cual dio respuesta oportuna dentro de los tiempos establecidos por positiva
</t>
    </r>
  </si>
  <si>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</si>
  <si>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</si>
  <si>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</si>
  <si>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</si>
  <si>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</si>
  <si>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</si>
  <si>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</si>
  <si>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</si>
  <si>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</si>
  <si>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</si>
  <si>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Soportes de medición de indicadores.
4. Relación de pagos ARL- GP
5. Autorizaciones generadas en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</si>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</sst>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6">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b/>
      <sz val="11"/>
      <color rgb="FF000000"/>
      <name val="Arial"/>
      <family val="2"/>
    </font>
    <font>
      <sz val="11"/>
      <color rgb="FF000000"/>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3"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9" xfId="0" applyFont="1" applyBorder="1" applyAlignment="1">
      <alignment vertical="center" wrapText="1"/>
    </xf>
    <xf numFmtId="0" fontId="21"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0" fontId="15" fillId="0" borderId="6" xfId="0" applyFont="1" applyBorder="1" applyAlignment="1">
      <alignment horizontal="center" vertical="center"/>
    </xf>
    <xf numFmtId="0" fontId="15" fillId="2" borderId="6" xfId="0" applyFont="1" applyFill="1" applyBorder="1" applyAlignment="1">
      <alignment horizontal="center" vertical="center" wrapText="1"/>
    </xf>
    <xf numFmtId="0" fontId="20" fillId="2" borderId="13" xfId="0" applyFont="1" applyFill="1" applyBorder="1" applyAlignment="1">
      <alignment horizontal="center" vertical="center" wrapText="1"/>
    </xf>
    <xf numFmtId="0" fontId="20" fillId="2" borderId="14" xfId="0" applyFont="1" applyFill="1" applyBorder="1" applyAlignment="1">
      <alignment horizontal="center" vertical="center" wrapText="1"/>
    </xf>
    <xf numFmtId="0" fontId="20" fillId="2" borderId="15" xfId="0" applyFont="1" applyFill="1" applyBorder="1" applyAlignment="1">
      <alignment horizontal="center" vertical="center" wrapText="1"/>
    </xf>
    <xf numFmtId="0" fontId="15" fillId="0" borderId="6" xfId="0" applyFont="1" applyBorder="1" applyAlignment="1">
      <alignment vertical="center" wrapText="1"/>
    </xf>
    <xf numFmtId="166" fontId="15" fillId="0" borderId="6" xfId="2" applyNumberFormat="1" applyFont="1" applyBorder="1" applyAlignment="1">
      <alignment horizontal="right" vertical="center" wrapText="1"/>
    </xf>
    <xf numFmtId="0" fontId="24" fillId="0" borderId="10" xfId="0" applyFont="1" applyBorder="1" applyAlignment="1">
      <alignment vertical="center" wrapText="1"/>
    </xf>
    <xf numFmtId="0" fontId="22" fillId="0" borderId="11" xfId="0" applyFont="1" applyBorder="1" applyAlignment="1">
      <alignment vertical="center" wrapText="1"/>
    </xf>
    <xf numFmtId="0" fontId="22" fillId="0" borderId="12" xfId="0" applyFont="1" applyBorder="1" applyAlignment="1">
      <alignment vertical="center" wrapText="1"/>
    </xf>
    <xf numFmtId="0" fontId="20" fillId="0" borderId="6" xfId="0" applyFont="1" applyBorder="1" applyAlignment="1">
      <alignment vertical="center" wrapText="1"/>
    </xf>
    <xf numFmtId="0" fontId="22" fillId="0" borderId="10" xfId="0" applyFont="1" applyBorder="1" applyAlignment="1">
      <alignment wrapText="1"/>
    </xf>
    <xf numFmtId="0" fontId="22" fillId="0" borderId="11" xfId="0" applyFont="1" applyBorder="1" applyAlignment="1">
      <alignment wrapText="1"/>
    </xf>
    <xf numFmtId="0" fontId="22" fillId="0" borderId="12" xfId="0" applyFont="1" applyBorder="1" applyAlignment="1">
      <alignment wrapText="1"/>
    </xf>
    <xf numFmtId="0" fontId="22" fillId="0" borderId="10" xfId="0" applyFont="1" applyBorder="1" applyAlignment="1">
      <alignment vertical="center" wrapText="1"/>
    </xf>
    <xf numFmtId="0" fontId="20" fillId="0" borderId="6" xfId="0" applyFont="1" applyBorder="1" applyAlignment="1">
      <alignment horizontal="center" vertical="center" wrapText="1"/>
    </xf>
    <xf numFmtId="0" fontId="22" fillId="0" borderId="6" xfId="0" applyFont="1" applyBorder="1" applyAlignment="1">
      <alignment horizontal="justify" vertical="center" wrapText="1"/>
    </xf>
    <xf numFmtId="0" fontId="21" fillId="0" borderId="6" xfId="0" applyFont="1" applyBorder="1" applyAlignment="1">
      <alignment horizontal="justify" vertical="center" wrapText="1"/>
    </xf>
    <xf numFmtId="14" fontId="15" fillId="0" borderId="6" xfId="0" applyNumberFormat="1" applyFont="1" applyBorder="1" applyAlignment="1">
      <alignment horizontal="center" vertical="center" wrapText="1"/>
    </xf>
    <xf numFmtId="0" fontId="22" fillId="0" borderId="9" xfId="0" applyFont="1" applyBorder="1" applyAlignment="1">
      <alignment vertical="center" wrapText="1"/>
    </xf>
    <xf numFmtId="0" fontId="21" fillId="0" borderId="9" xfId="0" applyFont="1" applyBorder="1" applyAlignment="1">
      <alignmen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738043</xdr:colOff>
      <xdr:row>0</xdr:row>
      <xdr:rowOff>164525</xdr:rowOff>
    </xdr:from>
    <xdr:to>
      <xdr:col>5</xdr:col>
      <xdr:colOff>1157943</xdr:colOff>
      <xdr:row>2</xdr:row>
      <xdr:rowOff>186493</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1824" y="164525"/>
          <a:ext cx="1729588" cy="522031"/>
        </a:xfrm>
        <a:prstGeom prst="rect">
          <a:avLst/>
        </a:prstGeom>
        <a:noFill/>
        <a:ln>
          <a:noFill/>
        </a:ln>
      </xdr:spPr>
    </xdr:pic>
    <xdr:clientData/>
  </xdr:twoCellAnchor>
  <xdr:oneCellAnchor>
    <xdr:from>
      <xdr:col>0</xdr:col>
      <xdr:colOff>0</xdr:colOff>
      <xdr:row>57</xdr:row>
      <xdr:rowOff>0</xdr:rowOff>
    </xdr:from>
    <xdr:ext cx="4043" cy="379167"/>
    <xdr:pic>
      <xdr:nvPicPr>
        <xdr:cNvPr id="4" name="Imagen 3">
          <a:extLst>
            <a:ext uri="{FF2B5EF4-FFF2-40B4-BE49-F238E27FC236}">
              <a16:creationId xmlns:a16="http://schemas.microsoft.com/office/drawing/2014/main" id="{6C54444E-BC4C-4F0B-B870-924B839D18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4C5A4895-B458-4E8F-BB97-CDA73CEAFF8C}"/>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600075</xdr:colOff>
      <xdr:row>60</xdr:row>
      <xdr:rowOff>133350</xdr:rowOff>
    </xdr:from>
    <xdr:to>
      <xdr:col>1</xdr:col>
      <xdr:colOff>523875</xdr:colOff>
      <xdr:row>60</xdr:row>
      <xdr:rowOff>657225</xdr:rowOff>
    </xdr:to>
    <xdr:pic>
      <xdr:nvPicPr>
        <xdr:cNvPr id="5" name="Imagen 4">
          <a:extLst>
            <a:ext uri="{FF2B5EF4-FFF2-40B4-BE49-F238E27FC236}">
              <a16:creationId xmlns:a16="http://schemas.microsoft.com/office/drawing/2014/main" id="{79388F96-DC9D-76A7-4BE6-9453C72D6E5F}"/>
            </a:ext>
            <a:ext uri="{147F2762-F138-4A5C-976F-8EAC2B608ADB}">
              <a16:predDERef xmlns:a16="http://schemas.microsoft.com/office/drawing/2014/main" pred="{4C5A4895-B458-4E8F-BB97-CDA73CEAFF8C}"/>
            </a:ext>
          </a:extLst>
        </xdr:cNvPr>
        <xdr:cNvPicPr>
          <a:picLocks noChangeAspect="1"/>
        </xdr:cNvPicPr>
      </xdr:nvPicPr>
      <xdr:blipFill>
        <a:blip xmlns:r="http://schemas.openxmlformats.org/officeDocument/2006/relationships" r:embed="rId5"/>
        <a:stretch>
          <a:fillRect/>
        </a:stretch>
      </xdr:blipFill>
      <xdr:spPr>
        <a:xfrm>
          <a:off x="600075" y="28603575"/>
          <a:ext cx="1504950" cy="523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55.5" customHeight="1">
      <c r="A9" s="14" t="s">
        <v>17</v>
      </c>
      <c r="B9" s="15">
        <v>45548</v>
      </c>
      <c r="C9" s="44" t="s">
        <v>18</v>
      </c>
      <c r="D9" s="44"/>
      <c r="E9" s="44"/>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view="pageBreakPreview" topLeftCell="A41" zoomScale="85" zoomScaleNormal="85" zoomScaleSheetLayoutView="85" workbookViewId="0">
      <selection activeCell="D51" sqref="D51:F51"/>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29" t="s">
        <v>0</v>
      </c>
      <c r="B1" s="30"/>
      <c r="C1" s="30"/>
      <c r="D1" s="30"/>
      <c r="E1" s="30"/>
      <c r="F1" s="31"/>
      <c r="G1" s="21"/>
      <c r="H1" s="21"/>
      <c r="I1" s="21"/>
    </row>
    <row r="2" spans="1:9" ht="15" customHeight="1">
      <c r="A2" s="48" t="s">
        <v>20</v>
      </c>
      <c r="B2" s="48"/>
      <c r="C2" s="48"/>
      <c r="D2" s="48"/>
      <c r="E2" s="48"/>
      <c r="F2" s="31"/>
      <c r="G2" s="21"/>
      <c r="H2" s="21"/>
      <c r="I2" s="21"/>
    </row>
    <row r="3" spans="1:9" ht="24" customHeight="1">
      <c r="A3" s="32"/>
      <c r="B3" s="32"/>
      <c r="C3" s="32"/>
      <c r="D3" s="32"/>
      <c r="E3" s="32"/>
      <c r="F3" s="32"/>
      <c r="G3" s="27"/>
      <c r="H3" s="27"/>
      <c r="I3" s="27"/>
    </row>
    <row r="4" spans="1:9" ht="15" customHeight="1">
      <c r="A4" s="49" t="s">
        <v>21</v>
      </c>
      <c r="B4" s="49"/>
      <c r="C4" s="49"/>
      <c r="D4" s="49"/>
      <c r="E4" s="49"/>
      <c r="F4" s="49"/>
      <c r="G4" s="28"/>
      <c r="H4" s="26"/>
      <c r="I4" s="27"/>
    </row>
    <row r="5" spans="1:9" ht="15" customHeight="1">
      <c r="A5" s="50" t="s">
        <v>22</v>
      </c>
      <c r="B5" s="50"/>
      <c r="C5" s="50"/>
      <c r="D5" s="50" t="s">
        <v>23</v>
      </c>
      <c r="E5" s="50"/>
      <c r="F5" s="50"/>
      <c r="G5" s="19"/>
    </row>
    <row r="6" spans="1:9" ht="22.5" customHeight="1">
      <c r="A6" s="51" t="s">
        <v>24</v>
      </c>
      <c r="B6" s="51"/>
      <c r="C6" s="51"/>
      <c r="D6" s="51" t="s">
        <v>25</v>
      </c>
      <c r="E6" s="51"/>
      <c r="F6" s="51"/>
      <c r="G6" s="19"/>
    </row>
    <row r="7" spans="1:9" ht="15" customHeight="1">
      <c r="A7" s="50" t="s">
        <v>26</v>
      </c>
      <c r="B7" s="50"/>
      <c r="C7" s="50"/>
      <c r="D7" s="50" t="s">
        <v>27</v>
      </c>
      <c r="E7" s="50"/>
      <c r="F7" s="50"/>
      <c r="G7" s="19"/>
    </row>
    <row r="8" spans="1:9" ht="29.25" customHeight="1">
      <c r="A8" s="51">
        <v>800201496</v>
      </c>
      <c r="B8" s="51"/>
      <c r="C8" s="51"/>
      <c r="D8" s="51" t="s">
        <v>28</v>
      </c>
      <c r="E8" s="51"/>
      <c r="F8" s="51"/>
      <c r="G8" s="19"/>
    </row>
    <row r="9" spans="1:9" ht="15" customHeight="1">
      <c r="A9" s="50" t="s">
        <v>29</v>
      </c>
      <c r="B9" s="50"/>
      <c r="C9" s="50"/>
      <c r="D9" s="70">
        <v>44123</v>
      </c>
      <c r="E9" s="51"/>
      <c r="F9" s="51"/>
      <c r="G9" s="19"/>
    </row>
    <row r="10" spans="1:9" ht="15" customHeight="1">
      <c r="A10" s="50" t="s">
        <v>30</v>
      </c>
      <c r="B10" s="50"/>
      <c r="C10" s="50"/>
      <c r="D10" s="70">
        <v>46342</v>
      </c>
      <c r="E10" s="51"/>
      <c r="F10" s="51"/>
      <c r="G10" s="19"/>
    </row>
    <row r="11" spans="1:9" ht="15" customHeight="1">
      <c r="A11" s="50" t="s">
        <v>31</v>
      </c>
      <c r="B11" s="50"/>
      <c r="C11" s="50"/>
      <c r="D11" s="50"/>
      <c r="E11" s="50"/>
      <c r="F11" s="50"/>
      <c r="G11" s="19"/>
    </row>
    <row r="12" spans="1:9" ht="256.5" customHeight="1">
      <c r="A12" s="57" t="s">
        <v>32</v>
      </c>
      <c r="B12" s="57"/>
      <c r="C12" s="57"/>
      <c r="D12" s="57"/>
      <c r="E12" s="57"/>
      <c r="F12" s="57"/>
      <c r="G12" s="19"/>
    </row>
    <row r="13" spans="1:9" ht="15" customHeight="1">
      <c r="A13" s="50" t="s">
        <v>33</v>
      </c>
      <c r="B13" s="50"/>
      <c r="C13" s="50"/>
      <c r="D13" s="50"/>
      <c r="E13" s="50"/>
      <c r="F13" s="50"/>
      <c r="G13" s="19"/>
    </row>
    <row r="14" spans="1:9" ht="108.75" customHeight="1">
      <c r="A14" s="41" t="s">
        <v>34</v>
      </c>
      <c r="B14" s="41" t="s">
        <v>35</v>
      </c>
      <c r="C14" s="68" t="s">
        <v>36</v>
      </c>
      <c r="D14" s="69"/>
      <c r="E14" s="69"/>
      <c r="F14" s="69"/>
      <c r="G14" s="19"/>
    </row>
    <row r="15" spans="1:9" ht="243" customHeight="1">
      <c r="A15" s="40" t="s">
        <v>37</v>
      </c>
      <c r="B15" s="40" t="s">
        <v>38</v>
      </c>
      <c r="C15" s="71" t="s">
        <v>39</v>
      </c>
      <c r="D15" s="72"/>
      <c r="E15" s="72"/>
      <c r="F15" s="72"/>
      <c r="G15" s="19"/>
    </row>
    <row r="16" spans="1:9" ht="15" customHeight="1">
      <c r="A16" s="50" t="s">
        <v>40</v>
      </c>
      <c r="B16" s="50"/>
      <c r="C16" s="50"/>
      <c r="D16" s="50"/>
      <c r="E16" s="50"/>
      <c r="F16" s="50"/>
      <c r="G16" s="19"/>
    </row>
    <row r="17" spans="1:12" ht="15" customHeight="1">
      <c r="A17" s="50" t="s">
        <v>41</v>
      </c>
      <c r="B17" s="50"/>
      <c r="C17" s="36" t="s">
        <v>42</v>
      </c>
      <c r="D17" s="34" t="s">
        <v>43</v>
      </c>
      <c r="E17" s="51" t="s">
        <v>44</v>
      </c>
      <c r="F17" s="51"/>
      <c r="G17" s="19"/>
    </row>
    <row r="18" spans="1:12" ht="15" customHeight="1">
      <c r="A18" s="50" t="s">
        <v>45</v>
      </c>
      <c r="B18" s="50"/>
      <c r="C18" s="50"/>
      <c r="D18" s="50"/>
      <c r="E18" s="50"/>
      <c r="F18" s="50"/>
      <c r="G18" s="19"/>
    </row>
    <row r="19" spans="1:12" ht="24.75" customHeight="1">
      <c r="A19" s="51" t="s">
        <v>46</v>
      </c>
      <c r="B19" s="51"/>
      <c r="C19" s="51"/>
      <c r="D19" s="51"/>
      <c r="E19" s="51"/>
      <c r="F19" s="51"/>
      <c r="G19" s="19"/>
    </row>
    <row r="20" spans="1:12" ht="15" customHeight="1">
      <c r="A20" s="50" t="s">
        <v>47</v>
      </c>
      <c r="B20" s="50"/>
      <c r="C20" s="50"/>
      <c r="D20" s="50"/>
      <c r="E20" s="50"/>
      <c r="F20" s="50"/>
      <c r="G20" s="19"/>
    </row>
    <row r="21" spans="1:12" ht="37.5" customHeight="1">
      <c r="A21" s="51" t="s">
        <v>48</v>
      </c>
      <c r="B21" s="51"/>
      <c r="C21" s="51"/>
      <c r="D21" s="51"/>
      <c r="E21" s="51"/>
      <c r="F21" s="51"/>
      <c r="G21" s="19"/>
    </row>
    <row r="22" spans="1:12" ht="15" customHeight="1">
      <c r="A22" s="54" t="s">
        <v>49</v>
      </c>
      <c r="B22" s="55"/>
      <c r="C22" s="55"/>
      <c r="D22" s="55"/>
      <c r="E22" s="55"/>
      <c r="F22" s="56"/>
      <c r="G22" s="19"/>
    </row>
    <row r="23" spans="1:12" ht="15" customHeight="1">
      <c r="A23" s="50" t="s">
        <v>50</v>
      </c>
      <c r="B23" s="50" t="s">
        <v>51</v>
      </c>
      <c r="C23" s="50" t="s">
        <v>52</v>
      </c>
      <c r="D23" s="50" t="s">
        <v>53</v>
      </c>
      <c r="E23" s="50" t="s">
        <v>54</v>
      </c>
      <c r="F23" s="50"/>
      <c r="G23" s="19"/>
    </row>
    <row r="24" spans="1:12" ht="15" customHeight="1">
      <c r="A24" s="50"/>
      <c r="B24" s="50"/>
      <c r="C24" s="50"/>
      <c r="D24" s="50"/>
      <c r="E24" s="34" t="s">
        <v>55</v>
      </c>
      <c r="F24" s="34" t="s">
        <v>56</v>
      </c>
      <c r="G24" s="19"/>
    </row>
    <row r="25" spans="1:12" ht="22.5" customHeight="1">
      <c r="A25" s="53" t="s">
        <v>57</v>
      </c>
      <c r="B25" s="37" t="s">
        <v>58</v>
      </c>
      <c r="C25" s="35" t="s">
        <v>59</v>
      </c>
      <c r="D25" s="35" t="s">
        <v>59</v>
      </c>
      <c r="E25" s="35" t="s">
        <v>59</v>
      </c>
      <c r="F25" s="35" t="s">
        <v>59</v>
      </c>
      <c r="G25" s="19"/>
    </row>
    <row r="26" spans="1:12" ht="25.5" customHeight="1">
      <c r="A26" s="53"/>
      <c r="B26" s="37" t="s">
        <v>60</v>
      </c>
      <c r="C26" s="35" t="s">
        <v>59</v>
      </c>
      <c r="D26" s="35" t="s">
        <v>59</v>
      </c>
      <c r="E26" s="35" t="s">
        <v>59</v>
      </c>
      <c r="F26" s="35" t="s">
        <v>59</v>
      </c>
      <c r="G26" s="19"/>
    </row>
    <row r="27" spans="1:12" ht="30" customHeight="1">
      <c r="A27" s="53"/>
      <c r="B27" s="37" t="s">
        <v>61</v>
      </c>
      <c r="C27" s="35" t="s">
        <v>59</v>
      </c>
      <c r="D27" s="35" t="s">
        <v>59</v>
      </c>
      <c r="E27" s="35" t="s">
        <v>59</v>
      </c>
      <c r="F27" s="35" t="s">
        <v>59</v>
      </c>
      <c r="G27" s="19"/>
    </row>
    <row r="28" spans="1:12" ht="67.5" customHeight="1">
      <c r="A28" s="38" t="s">
        <v>62</v>
      </c>
      <c r="B28" s="37" t="s">
        <v>63</v>
      </c>
      <c r="C28" s="35" t="s">
        <v>59</v>
      </c>
      <c r="D28" s="35" t="s">
        <v>59</v>
      </c>
      <c r="E28" s="35" t="s">
        <v>59</v>
      </c>
      <c r="F28" s="35" t="s">
        <v>59</v>
      </c>
      <c r="G28" s="19"/>
    </row>
    <row r="29" spans="1:12" ht="90" customHeight="1">
      <c r="A29" s="38" t="s">
        <v>64</v>
      </c>
      <c r="B29" s="37" t="s">
        <v>65</v>
      </c>
      <c r="C29" s="35" t="s">
        <v>66</v>
      </c>
      <c r="D29" s="36" t="s">
        <v>67</v>
      </c>
      <c r="E29" s="39">
        <v>45773</v>
      </c>
      <c r="F29" s="39">
        <v>46138</v>
      </c>
      <c r="G29" s="19"/>
    </row>
    <row r="30" spans="1:12" ht="15" customHeight="1">
      <c r="A30" s="50" t="s">
        <v>68</v>
      </c>
      <c r="B30" s="50"/>
      <c r="C30" s="50"/>
      <c r="D30" s="50"/>
      <c r="E30" s="50"/>
      <c r="F30" s="50"/>
      <c r="G30" s="19"/>
    </row>
    <row r="31" spans="1:12" ht="15" customHeight="1">
      <c r="A31" s="34" t="s">
        <v>69</v>
      </c>
      <c r="B31" s="34" t="s">
        <v>70</v>
      </c>
      <c r="C31" s="34" t="s">
        <v>71</v>
      </c>
      <c r="D31" s="50" t="s">
        <v>72</v>
      </c>
      <c r="E31" s="50"/>
      <c r="F31" s="34" t="s">
        <v>73</v>
      </c>
      <c r="G31" s="19"/>
      <c r="H31" s="22" t="s">
        <v>74</v>
      </c>
      <c r="I31" s="22" t="s">
        <v>75</v>
      </c>
      <c r="J31" s="22" t="s">
        <v>76</v>
      </c>
      <c r="K31" s="22" t="s">
        <v>77</v>
      </c>
      <c r="L31" s="22" t="s">
        <v>78</v>
      </c>
    </row>
    <row r="32" spans="1:12" ht="198.75" customHeight="1">
      <c r="A32" s="38" t="s">
        <v>79</v>
      </c>
      <c r="B32" s="35" t="s">
        <v>80</v>
      </c>
      <c r="C32" s="35" t="s">
        <v>81</v>
      </c>
      <c r="D32" s="51" t="s">
        <v>82</v>
      </c>
      <c r="E32" s="51"/>
      <c r="F32" s="35" t="s">
        <v>83</v>
      </c>
      <c r="G32" s="19"/>
      <c r="H32" s="22" t="s">
        <v>80</v>
      </c>
      <c r="I32" s="22" t="s">
        <v>84</v>
      </c>
      <c r="J32" s="22" t="s">
        <v>85</v>
      </c>
      <c r="K32" s="22" t="s">
        <v>86</v>
      </c>
      <c r="L32" s="22" t="s">
        <v>87</v>
      </c>
    </row>
    <row r="33" spans="1:12" ht="15" customHeight="1">
      <c r="A33" s="38" t="s">
        <v>88</v>
      </c>
      <c r="B33" s="33" t="s">
        <v>59</v>
      </c>
      <c r="C33" s="33" t="s">
        <v>59</v>
      </c>
      <c r="D33" s="52" t="s">
        <v>59</v>
      </c>
      <c r="E33" s="52"/>
      <c r="F33" s="33" t="s">
        <v>59</v>
      </c>
      <c r="G33" s="19"/>
      <c r="H33" s="22" t="s">
        <v>89</v>
      </c>
      <c r="I33" s="23" t="s">
        <v>81</v>
      </c>
      <c r="J33" s="22" t="s">
        <v>90</v>
      </c>
      <c r="K33" s="22" t="s">
        <v>91</v>
      </c>
      <c r="L33" s="22" t="s">
        <v>92</v>
      </c>
    </row>
    <row r="34" spans="1:12" ht="15" customHeight="1">
      <c r="A34" s="38" t="s">
        <v>93</v>
      </c>
      <c r="B34" s="33" t="s">
        <v>59</v>
      </c>
      <c r="C34" s="33" t="s">
        <v>59</v>
      </c>
      <c r="D34" s="52" t="s">
        <v>59</v>
      </c>
      <c r="E34" s="52"/>
      <c r="F34" s="33" t="s">
        <v>59</v>
      </c>
      <c r="G34" s="19"/>
      <c r="H34" s="22" t="s">
        <v>94</v>
      </c>
      <c r="I34" s="23" t="s">
        <v>95</v>
      </c>
      <c r="K34" s="22" t="s">
        <v>96</v>
      </c>
      <c r="L34" s="22" t="s">
        <v>97</v>
      </c>
    </row>
    <row r="35" spans="1:12" ht="30" customHeight="1">
      <c r="A35" s="38" t="s">
        <v>98</v>
      </c>
      <c r="B35" s="33" t="s">
        <v>59</v>
      </c>
      <c r="C35" s="33" t="s">
        <v>59</v>
      </c>
      <c r="D35" s="52" t="s">
        <v>59</v>
      </c>
      <c r="E35" s="52"/>
      <c r="F35" s="33" t="s">
        <v>59</v>
      </c>
      <c r="G35" s="19"/>
      <c r="H35" s="22" t="s">
        <v>99</v>
      </c>
      <c r="I35" s="22" t="s">
        <v>100</v>
      </c>
      <c r="K35" s="22" t="s">
        <v>101</v>
      </c>
      <c r="L35" s="22" t="s">
        <v>102</v>
      </c>
    </row>
    <row r="36" spans="1:12" ht="15" customHeight="1">
      <c r="A36" s="50" t="s">
        <v>103</v>
      </c>
      <c r="B36" s="50"/>
      <c r="C36" s="50"/>
      <c r="D36" s="50"/>
      <c r="E36" s="50"/>
      <c r="F36" s="50"/>
      <c r="G36" s="19"/>
      <c r="H36" s="22" t="s">
        <v>104</v>
      </c>
      <c r="I36" s="22" t="s">
        <v>105</v>
      </c>
      <c r="K36" s="22" t="s">
        <v>106</v>
      </c>
      <c r="L36" s="22" t="s">
        <v>107</v>
      </c>
    </row>
    <row r="37" spans="1:12" ht="15" customHeight="1">
      <c r="A37" s="50" t="s">
        <v>108</v>
      </c>
      <c r="B37" s="50"/>
      <c r="C37" s="34" t="s">
        <v>71</v>
      </c>
      <c r="D37" s="50" t="s">
        <v>72</v>
      </c>
      <c r="E37" s="50"/>
      <c r="F37" s="34" t="s">
        <v>109</v>
      </c>
      <c r="G37" s="19"/>
      <c r="H37" s="22" t="s">
        <v>110</v>
      </c>
      <c r="I37" s="23" t="s">
        <v>111</v>
      </c>
      <c r="K37" s="22" t="s">
        <v>112</v>
      </c>
      <c r="L37" s="22" t="s">
        <v>113</v>
      </c>
    </row>
    <row r="38" spans="1:12" ht="37.5" customHeight="1">
      <c r="A38" s="51" t="s">
        <v>114</v>
      </c>
      <c r="B38" s="51"/>
      <c r="C38" s="35" t="s">
        <v>111</v>
      </c>
      <c r="D38" s="51" t="s">
        <v>115</v>
      </c>
      <c r="E38" s="51"/>
      <c r="F38" s="35" t="s">
        <v>116</v>
      </c>
      <c r="G38" s="19"/>
      <c r="H38" s="22" t="s">
        <v>117</v>
      </c>
      <c r="I38" s="23" t="s">
        <v>116</v>
      </c>
      <c r="L38" s="22" t="s">
        <v>118</v>
      </c>
    </row>
    <row r="39" spans="1:12" ht="15" customHeight="1">
      <c r="A39" s="50" t="s">
        <v>119</v>
      </c>
      <c r="B39" s="50"/>
      <c r="C39" s="50"/>
      <c r="D39" s="50"/>
      <c r="E39" s="50"/>
      <c r="F39" s="50"/>
      <c r="G39" s="19"/>
      <c r="I39" s="22" t="s">
        <v>120</v>
      </c>
      <c r="L39" s="22" t="s">
        <v>121</v>
      </c>
    </row>
    <row r="40" spans="1:12" ht="15" customHeight="1">
      <c r="A40" s="50" t="s">
        <v>108</v>
      </c>
      <c r="B40" s="50"/>
      <c r="C40" s="34" t="s">
        <v>71</v>
      </c>
      <c r="D40" s="50" t="s">
        <v>72</v>
      </c>
      <c r="E40" s="50"/>
      <c r="F40" s="34" t="s">
        <v>109</v>
      </c>
      <c r="G40" s="19"/>
      <c r="I40" s="23" t="s">
        <v>122</v>
      </c>
      <c r="L40" s="22" t="s">
        <v>123</v>
      </c>
    </row>
    <row r="41" spans="1:12" ht="67.5" customHeight="1">
      <c r="A41" s="51" t="s">
        <v>124</v>
      </c>
      <c r="B41" s="51"/>
      <c r="C41" s="35" t="s">
        <v>111</v>
      </c>
      <c r="D41" s="51" t="s">
        <v>125</v>
      </c>
      <c r="E41" s="51"/>
      <c r="F41" s="35" t="s">
        <v>116</v>
      </c>
      <c r="G41" s="19"/>
      <c r="H41" s="22" t="s">
        <v>125</v>
      </c>
      <c r="L41" s="23"/>
    </row>
    <row r="42" spans="1:12" ht="15" customHeight="1">
      <c r="A42" s="50" t="s">
        <v>126</v>
      </c>
      <c r="B42" s="50"/>
      <c r="C42" s="50"/>
      <c r="D42" s="50"/>
      <c r="E42" s="50"/>
      <c r="F42" s="50"/>
      <c r="G42" s="19"/>
      <c r="H42" s="22" t="s">
        <v>127</v>
      </c>
    </row>
    <row r="43" spans="1:12" ht="15" customHeight="1">
      <c r="A43" s="50" t="s">
        <v>128</v>
      </c>
      <c r="B43" s="50"/>
      <c r="C43" s="50"/>
      <c r="D43" s="67">
        <v>92</v>
      </c>
      <c r="E43" s="67"/>
      <c r="F43" s="67"/>
      <c r="G43" s="19"/>
      <c r="H43" s="22" t="s">
        <v>129</v>
      </c>
    </row>
    <row r="44" spans="1:12" ht="108.75" customHeight="1">
      <c r="A44" s="59" t="s">
        <v>130</v>
      </c>
      <c r="B44" s="60"/>
      <c r="C44" s="60"/>
      <c r="D44" s="60"/>
      <c r="E44" s="60"/>
      <c r="F44" s="61"/>
      <c r="G44" s="19"/>
    </row>
    <row r="45" spans="1:12" ht="15" customHeight="1">
      <c r="A45" s="50" t="s">
        <v>131</v>
      </c>
      <c r="B45" s="53"/>
      <c r="C45" s="53"/>
      <c r="D45" s="53"/>
      <c r="E45" s="53"/>
      <c r="F45" s="53"/>
      <c r="G45" s="19"/>
    </row>
    <row r="46" spans="1:12" ht="15" customHeight="1">
      <c r="A46" s="50" t="s">
        <v>132</v>
      </c>
      <c r="B46" s="50"/>
      <c r="C46" s="50"/>
      <c r="D46" s="51" t="s">
        <v>133</v>
      </c>
      <c r="E46" s="51"/>
      <c r="F46" s="51"/>
      <c r="G46" s="19"/>
    </row>
    <row r="47" spans="1:12" ht="15" customHeight="1">
      <c r="A47" s="50" t="s">
        <v>134</v>
      </c>
      <c r="B47" s="50"/>
      <c r="C47" s="50"/>
      <c r="D47" s="51" t="s">
        <v>135</v>
      </c>
      <c r="E47" s="51"/>
      <c r="F47" s="51"/>
      <c r="G47" s="19"/>
    </row>
    <row r="48" spans="1:12" ht="15">
      <c r="A48" s="50" t="s">
        <v>136</v>
      </c>
      <c r="B48" s="50"/>
      <c r="C48" s="50"/>
      <c r="D48" s="58">
        <v>2894535409</v>
      </c>
      <c r="E48" s="58"/>
      <c r="F48" s="58"/>
      <c r="G48" s="19"/>
    </row>
    <row r="49" spans="1:7" ht="15" customHeight="1">
      <c r="A49" s="50" t="s">
        <v>137</v>
      </c>
      <c r="B49" s="50"/>
      <c r="C49" s="50"/>
      <c r="D49" s="58">
        <v>34045920</v>
      </c>
      <c r="E49" s="58"/>
      <c r="F49" s="58"/>
      <c r="G49" s="19"/>
    </row>
    <row r="50" spans="1:7" ht="15" customHeight="1">
      <c r="A50" s="50" t="s">
        <v>138</v>
      </c>
      <c r="B50" s="50"/>
      <c r="C50" s="50"/>
      <c r="D50" s="58">
        <v>9138503</v>
      </c>
      <c r="E50" s="58"/>
      <c r="F50" s="58"/>
      <c r="G50" s="19"/>
    </row>
    <row r="51" spans="1:7" ht="30" customHeight="1">
      <c r="A51" s="50" t="s">
        <v>139</v>
      </c>
      <c r="B51" s="50"/>
      <c r="C51" s="50"/>
      <c r="D51" s="58">
        <f>+D48+D49+D50</f>
        <v>2937719832</v>
      </c>
      <c r="E51" s="58"/>
      <c r="F51" s="58"/>
      <c r="G51" s="19"/>
    </row>
    <row r="52" spans="1:7" ht="15" customHeight="1">
      <c r="A52" s="50" t="s">
        <v>140</v>
      </c>
      <c r="B52" s="53"/>
      <c r="C52" s="53"/>
      <c r="D52" s="53"/>
      <c r="E52" s="53"/>
      <c r="F52" s="53"/>
      <c r="G52" s="19"/>
    </row>
    <row r="53" spans="1:7" ht="155.25" customHeight="1">
      <c r="A53" s="59" t="s">
        <v>141</v>
      </c>
      <c r="B53" s="60"/>
      <c r="C53" s="60"/>
      <c r="D53" s="60"/>
      <c r="E53" s="60"/>
      <c r="F53" s="61"/>
      <c r="G53" s="25"/>
    </row>
    <row r="54" spans="1:7" ht="15" customHeight="1">
      <c r="A54" s="50" t="s">
        <v>142</v>
      </c>
      <c r="B54" s="50"/>
      <c r="C54" s="50"/>
      <c r="D54" s="50"/>
      <c r="E54" s="50"/>
      <c r="F54" s="50"/>
      <c r="G54" s="19"/>
    </row>
    <row r="55" spans="1:7" ht="15" customHeight="1">
      <c r="A55" s="50" t="s">
        <v>143</v>
      </c>
      <c r="B55" s="53"/>
      <c r="C55" s="53"/>
      <c r="D55" s="53"/>
      <c r="E55" s="53"/>
      <c r="F55" s="53"/>
      <c r="G55" s="19"/>
    </row>
    <row r="56" spans="1:7" ht="15" customHeight="1">
      <c r="A56" s="57" t="s">
        <v>144</v>
      </c>
      <c r="B56" s="57"/>
      <c r="C56" s="57"/>
      <c r="D56" s="57"/>
      <c r="E56" s="57"/>
      <c r="F56" s="57"/>
      <c r="G56" s="19"/>
    </row>
    <row r="57" spans="1:7" ht="15" customHeight="1">
      <c r="A57" s="57" t="s">
        <v>145</v>
      </c>
      <c r="B57" s="57"/>
      <c r="C57" s="57"/>
      <c r="D57" s="57"/>
      <c r="E57" s="57"/>
      <c r="F57" s="57"/>
      <c r="G57" s="19"/>
    </row>
    <row r="58" spans="1:7" ht="37.5" customHeight="1">
      <c r="A58" s="62" t="s">
        <v>146</v>
      </c>
      <c r="B58" s="62"/>
      <c r="C58" s="62"/>
      <c r="D58" s="62"/>
      <c r="E58" s="62"/>
      <c r="F58" s="62"/>
      <c r="G58" s="19"/>
    </row>
    <row r="59" spans="1:7" ht="15" customHeight="1">
      <c r="A59" s="63" t="s">
        <v>147</v>
      </c>
      <c r="B59" s="64"/>
      <c r="C59" s="64"/>
      <c r="D59" s="64"/>
      <c r="E59" s="64"/>
      <c r="F59" s="65"/>
      <c r="G59" s="19"/>
    </row>
    <row r="60" spans="1:7" ht="15" customHeight="1">
      <c r="A60" s="63" t="s">
        <v>148</v>
      </c>
      <c r="B60" s="64"/>
      <c r="C60" s="64"/>
      <c r="D60" s="64"/>
      <c r="E60" s="64"/>
      <c r="F60" s="65"/>
      <c r="G60" s="19"/>
    </row>
    <row r="61" spans="1:7" ht="63.75" customHeight="1">
      <c r="A61" s="66" t="s">
        <v>146</v>
      </c>
      <c r="B61" s="60"/>
      <c r="C61" s="60"/>
      <c r="D61" s="60"/>
      <c r="E61" s="60"/>
      <c r="F61" s="61"/>
      <c r="G61" s="19"/>
    </row>
    <row r="62" spans="1:7">
      <c r="A62" s="24"/>
      <c r="B62" s="24"/>
      <c r="C62" s="24"/>
      <c r="D62" s="24"/>
      <c r="E62" s="24"/>
      <c r="F62" s="24"/>
    </row>
  </sheetData>
  <mergeCells count="76">
    <mergeCell ref="A18:F18"/>
    <mergeCell ref="A11:F11"/>
    <mergeCell ref="C14:F14"/>
    <mergeCell ref="A8:C8"/>
    <mergeCell ref="A13:F13"/>
    <mergeCell ref="A9:C9"/>
    <mergeCell ref="A10:C10"/>
    <mergeCell ref="D8:F8"/>
    <mergeCell ref="D9:F9"/>
    <mergeCell ref="D10:F10"/>
    <mergeCell ref="C15:F15"/>
    <mergeCell ref="A58:F58"/>
    <mergeCell ref="A59:F59"/>
    <mergeCell ref="A60:F60"/>
    <mergeCell ref="A61:F61"/>
    <mergeCell ref="A37:B37"/>
    <mergeCell ref="D38:E38"/>
    <mergeCell ref="A57:F57"/>
    <mergeCell ref="A49:C49"/>
    <mergeCell ref="A50:C50"/>
    <mergeCell ref="A45:F45"/>
    <mergeCell ref="A46:C46"/>
    <mergeCell ref="D46:F46"/>
    <mergeCell ref="A43:C43"/>
    <mergeCell ref="D43:F43"/>
    <mergeCell ref="A44:F44"/>
    <mergeCell ref="A55:F55"/>
    <mergeCell ref="A56:F56"/>
    <mergeCell ref="A51:C51"/>
    <mergeCell ref="D48:F48"/>
    <mergeCell ref="D49:F49"/>
    <mergeCell ref="D50:F50"/>
    <mergeCell ref="D51:F51"/>
    <mergeCell ref="A52:F52"/>
    <mergeCell ref="A53:F53"/>
    <mergeCell ref="A54:F54"/>
    <mergeCell ref="A47:C47"/>
    <mergeCell ref="A48:C48"/>
    <mergeCell ref="D47:F47"/>
    <mergeCell ref="A16:F16"/>
    <mergeCell ref="A12:F12"/>
    <mergeCell ref="A17:B17"/>
    <mergeCell ref="E17:F17"/>
    <mergeCell ref="A42:F42"/>
    <mergeCell ref="D31:E31"/>
    <mergeCell ref="A41:B41"/>
    <mergeCell ref="D41:E41"/>
    <mergeCell ref="A40:B40"/>
    <mergeCell ref="D40:E40"/>
    <mergeCell ref="D32:E32"/>
    <mergeCell ref="D33:E33"/>
    <mergeCell ref="D34:E34"/>
    <mergeCell ref="B23:B24"/>
    <mergeCell ref="E23:F23"/>
    <mergeCell ref="A25:A27"/>
    <mergeCell ref="A30:F30"/>
    <mergeCell ref="A19:F19"/>
    <mergeCell ref="A20:F20"/>
    <mergeCell ref="A21:F21"/>
    <mergeCell ref="A22:F22"/>
    <mergeCell ref="A23:A24"/>
    <mergeCell ref="C23:C24"/>
    <mergeCell ref="D23:D24"/>
    <mergeCell ref="D35:E35"/>
    <mergeCell ref="A39:F39"/>
    <mergeCell ref="A36:F36"/>
    <mergeCell ref="A38:B38"/>
    <mergeCell ref="D37:E37"/>
    <mergeCell ref="A2:E2"/>
    <mergeCell ref="A4:F4"/>
    <mergeCell ref="A5:C5"/>
    <mergeCell ref="A6:C6"/>
    <mergeCell ref="A7:C7"/>
    <mergeCell ref="D6:F6"/>
    <mergeCell ref="D5:F5"/>
    <mergeCell ref="D7:F7"/>
  </mergeCells>
  <dataValidations count="6">
    <dataValidation type="list" allowBlank="1" showInputMessage="1" showErrorMessage="1" sqref="B35" xr:uid="{00000000-0002-0000-0100-000000000000}">
      <formula1>$L$32:$L$40</formula1>
    </dataValidation>
    <dataValidation type="list" allowBlank="1" showInputMessage="1" showErrorMessage="1" sqref="B33:B34" xr:uid="{00000000-0002-0000-0100-000001000000}">
      <formula1>$K$32:$K$37</formula1>
    </dataValidation>
    <dataValidation type="list" allowBlank="1" showInputMessage="1" showErrorMessage="1" sqref="B32" xr:uid="{00000000-0002-0000-0100-000002000000}">
      <formula1>$H$32:$H$38</formula1>
    </dataValidation>
    <dataValidation type="list" allowBlank="1" showInputMessage="1" showErrorMessage="1" sqref="C32:C35 C38 C41" xr:uid="{00000000-0002-0000-0100-000003000000}">
      <formula1>$I$32:$I$37</formula1>
    </dataValidation>
    <dataValidation type="list" allowBlank="1" showInputMessage="1" showErrorMessage="1" sqref="F38 F41" xr:uid="{00000000-0002-0000-0100-000004000000}">
      <formula1>$I$38:$I$40</formula1>
    </dataValidation>
    <dataValidation type="list" allowBlank="1" showInputMessage="1" showErrorMessage="1" sqref="D41:E41" xr:uid="{00000000-0002-0000-0100-000005000000}">
      <formula1>$H$41:$H$43</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343EF012-C4E3-440C-8851-4B3A397C27D0}"/>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2026-01-21T20:06:21Z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