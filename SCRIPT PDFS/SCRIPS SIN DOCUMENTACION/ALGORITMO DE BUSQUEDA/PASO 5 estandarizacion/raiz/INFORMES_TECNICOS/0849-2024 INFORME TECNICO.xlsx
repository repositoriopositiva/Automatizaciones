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ápitas/INFORME 12 DICIEMBRE-2025 0849-2024/1 INFORME 12 DICIEMBRE-2025 0849-2024/"/>
    </mc:Choice>
  </mc:AlternateContent>
  <xr:revisionPtr revIDLastSave="37" documentId="8_{2FD59A8A-431C-428A-8D4C-F317304E821B}" xr6:coauthVersionLast="47" xr6:coauthVersionMax="47" xr10:uidLastSave="{69970744-B0C5-4C69-96FF-D9698DB84B2B}"/>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<sst xmlns="http://schemas.openxmlformats.org/spreadsheetml/2006/main" count="148" uniqueCount="111">
  <si>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</si>
  <si>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</si>
  <si>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</si>
  <si>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</si>
  <si>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</si>
  <si>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</si>
  <si>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</si>
  <si>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</si>
  <si>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</si>
  <si>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</si>
  <si>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</si>
  <si>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</si>
  <si>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</si>
  <si>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</si>
  <si>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</si>
  <si>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</si>
  <si>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</si>
  <si>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349-F004-V02 </t>
  </si>
  <si>
    <t>1. IDENTIFICACIÓN DEL CONTRATO</t>
  </si>
  <si>
    <t>No. del contrato y año</t>
  </si>
  <si>
    <t>Clase de contrato</t>
  </si>
  <si>
    <t>0849-2024</t>
  </si>
  <si>
    <t>Prestación de Servicios</t>
  </si>
  <si>
    <t>No. de NIT</t>
  </si>
  <si>
    <t>Nombre y/o razón social del proveedor</t>
  </si>
  <si>
    <t>MEDICAL SOLUTIONS COLOMBIA S.A - MEDISMART</t>
  </si>
  <si>
    <t>Fecha de inicio</t>
  </si>
  <si>
    <t>Fecha de terminación</t>
  </si>
  <si>
    <t>2. OBJETO</t>
  </si>
  <si>
    <t>EL CONTRATISTA se obliga con POSITIVA a la prestación de los servicios de asistencia en salud para los asegurados y/o afiliados a POSITIVA, que accedan a los servicios habilitados del CONTRATISTA en calidad de asegurados, para el ramo de Administración de Riesgos Laborales y demás Ramos de Seguros autorizados a Positiva.</t>
  </si>
  <si>
    <t>3. MODIFICACIONES AL CONTRATO</t>
  </si>
  <si>
    <t>Otrosí No. 1</t>
  </si>
  <si>
    <t>Fecha de modificación: 
20/08/2025</t>
  </si>
  <si>
    <r>
      <t xml:space="preserve">Objeto de la modificación: </t>
    </r>
    <r>
      <rPr>
        <sz val="11"/>
        <color theme="1"/>
        <rFont val="Arial"/>
        <family val="2"/>
      </rPr>
      <t xml:space="preserve">Modificar el parágrafo quinto de la cláusula cuarta – MODALIDAD DE PAGO Y TARIFAS, la cual quedara así: 
CLÁUSULA A CUARTA. – MODALIDAD DE PAGO Y TARIFAS 
PARAGRAFO QUINTO: Los pagos que se generen con ocasión a la ejecución del presente contrato, se harán con cargo a la Reserva de siniestros Ocurridos y Avisados (SOA) ARL, AP/GP y SALUD – gastos indirectos para riesgos laborales, Reserva de Gastos administrativos de la nota técnica para los productos de Vida, Por Gestión y Administración de Pólizas. 
SEGUNDO: Modificar el parágrafo cuarto de la cláusula novena – VALOR, la cual quedara así: 
CLAUSULA NOVENA – VALOR PARAGRAFO CUARTO: Los pagos que se generen con ocasión a la ejecución del presente contrato, se harán con cargo a la Reserva de siniestros Ocurridos y Avisados (SOA) ARL, AP/GP y SALUD – gastos indirectos para riesgos laborales, Reserva de Gastos administrativos de la nota técnica para los productos de Vida, Por Gestión y Administración de Pólizas.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</si>
  <si>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</si>
  <si>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</si>
  <si>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</si>
  <si>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</si>
  <si>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</si>
  <si>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</si>
  <si>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</si>
  <si>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</si>
  <si>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t>Este contrato  contempla Acuerdos de Nivel de Servicio (ANS). La evaluación de los indicadores de gestión de este prestador se realiza mensualmente y se incluye en el presente informe (ver Anexo 2). Por su parte, los indicadores de calidad se evalúan de forma trimestral, ambos resultados se incluyen como archivo anexo al informe (ver Anexo 2).</t>
  </si>
  <si>
    <t>7. GARANTÍAS</t>
  </si>
  <si>
    <t>Tipo de Garantía</t>
  </si>
  <si>
    <t>Aseguradora</t>
  </si>
  <si>
    <t>No. de Póliza</t>
  </si>
  <si>
    <t>Amparos</t>
  </si>
  <si>
    <t>Vigencia</t>
  </si>
  <si>
    <t>Desde</t>
  </si>
  <si>
    <t>Hasta</t>
  </si>
  <si>
    <t>Cumplimiento ante Entidades Públicas con Régimen Privado de Contrato</t>
  </si>
  <si>
    <t>No aplica</t>
  </si>
  <si>
    <t>Cumplimiento</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</si>
  <si>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</si>
  <si>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</si>
  <si>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</si>
  <si>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</si>
  <si>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</si>
  <si>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Aseguradora Solidaria de Colombia</t>
  </si>
  <si>
    <t>360 88 994000000046</t>
  </si>
  <si>
    <t>Responsabilidad civil médica o profesional clinicas y hospitales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</si>
  <si>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</si>
  <si>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</si>
  <si>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</si>
  <si>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</si>
  <si>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</si>
  <si>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</si>
  <si>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</si>
  <si>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</si>
  <si>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</si>
  <si>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</si>
  <si>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</si>
  <si>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</si>
  <si>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</si>
  <si>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</si>
  <si>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</si>
  <si>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</si>
  <si>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</si>
  <si>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</si>
  <si>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</si>
  <si>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 Certificación firmada por representante legal del proveedor</t>
  </si>
  <si>
    <t>SI</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</si>
  <si>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</si>
  <si>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</si>
  <si>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</si>
  <si>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</si>
  <si>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NÚMERO DE SERVICIOS ASIGNADOS EN EL PERIODO</t>
  </si>
  <si>
    <t>NÚMERO DE  ATENCIONES  EN EL PERÍODO</t>
  </si>
  <si>
    <r>
      <rPr>
        <sz val="11"/>
        <color rgb="FF000000"/>
        <rFont val="Arial"/>
        <family val="2"/>
      </rPr>
      <t>1. El proveedor MEDICAL SOLUTIONS COLOMBIA S.A - MEDISMART aporta planilla y certificado de pagos de seguridad social firmado por el revisor fiscal y aportes parafiscales correspondientes al mes de diciembre 2025.
2. El proveedor MEDICAL SOLUTIONS COLOMBIA S.A - MEDISMART posee vigente la póliza de responsabilidad civil profesional clínicas y hospitales para el periodo evaluado. 
3. El informe de diciembre presentado por el proveedor MEDICAL SOLUTIONS COLOMBIA S.A - MEDISMART, indica que en ese período se registraron 5.484 servicios, de los cuales en la plataforma Cuida 2.0 se registran 2047 autorizaciones y las demás se registran en el ecosistema del prestador. En el reporte de conciliación de glosas aparecen registradas 5.214 atenciones efectivas para el mes de DICIEMBRE, distribuidas así: Psicología Prioritaria, 116; Bienestar Integral, 109; Psicología General, 3.362; Medicina General 1.627.
4. El prestador tuvo 2 PQRs registradas así:ENT20250001680980, ENT20250001615417  cumpliendo con los tiempos de respuesta.
5. No registra novedades con la habilitación de los servicios durante el periodo evaluado.
6. Se recibió el reporte obligatorio de cumplimiento de los RIPS.
7. En el informe entregado por el proveedor se evidencian las interacciones con los usuarios sin novedad.                                                                                                                                                                                                                                                                                                                                                                                                                                                                                                                                                                                                                              
8. Durante el periodo evaluado, el proveedor MEDICAL SOLUTIONS COLOMBIA S.A - MEDISMART presentó los siguientes resultados en relación con los indicadores de los ANS:
•	Indicador 1: Disponibilidad de la plataforma 24/7 los 365 días del año. Valor 99,9%. Cumple.
•	Indicador 2: Atención en Psicología y Medicina General inmediata, ingresada por: 1. Fila única y 2. Autorización realizada desde el Call Center. Valor 99%. Cumple.
•	Indicador 3: Oportunidad en la atención telefónica de llamadas de asegurados en crisis remitidas por el operador logístico. Valor 95%. Cumple.
•	Indicador 4: Oportunidad en el agendamiento de especialidades psicológicas. Valor 100%. Cumple
•	Indicador 5: Oportunidad en el agendamiento de terapias sistémicas de contención. Valor 100%. Cumple.
•	Indicador 6: Calidad de la información consignada en la historia clínica y en las herramientas de gestión de la compañía. Valor 98%. No Cumple.
•	Indicador 7: Satisfacción del usuario en la atención. Valor 96%. Cumple.	
9. De conformidad con mensaje de Positiva, procede la aplicación de incremento en el valor de la tarifa equivalente al IPC de 2025 (5,1%) en referencia al cumplimiento de la anualidad, sin que medie la sucripción de acta de modificación de la tarifa.</t>
    </r>
    <r>
      <rPr>
        <sz val="11"/>
        <color rgb="FFFF0000"/>
        <rFont val="Arial"/>
        <family val="2"/>
      </rPr>
      <t xml:space="preserve">	</t>
    </r>
  </si>
  <si>
    <t>12. PAGO POR RESERVA</t>
  </si>
  <si>
    <t>Valor total del contrato con reserva a SOA</t>
  </si>
  <si>
    <t>Cuantía Indeterminada</t>
  </si>
  <si>
    <t>Valor cancelado a la fecha con cargo a reserva SOA - ARL, ACCIDENTES PERSONALES, SALUD, VIDA GRUPO ( pagado hasta el informe anterior)</t>
  </si>
  <si>
    <t>Valor total a cancelar con el presente informe SOA - ARL</t>
  </si>
  <si>
    <t>Valor total a cancelar con el presente informe Accidentes Personales</t>
  </si>
  <si>
    <t>Valor total a cancelar con el presente informe SALUD</t>
  </si>
  <si>
    <t>Valor total a cancelar con el presente informe Vida Grupo</t>
  </si>
  <si>
    <t>Valor total a cancelar con el presente informe ASISTENCIA POLIZA - 3100024217-UNIVERSIDAD NACIONAL DE
COLOMBIA</t>
  </si>
  <si>
    <t>Valor a cancelar con el presente informe</t>
  </si>
  <si>
    <t>Valor a cancelar con el presente informe en letras</t>
  </si>
  <si>
    <t>Setecientos diez millones trecientos mil setecientos sesenta y tres pesos con 33/100 centavos moneda corriente.-</t>
  </si>
  <si>
    <t>13. ANEXOS</t>
  </si>
  <si>
    <t>1. Evaluación de obligaciones generales y específicas.                                                                                                                                                                                                                                                                                                                                                                                                                                                                                                                                                                                                                                 2. Resultado medición ACUERDOS DE NIVELES DE SERVICIOS y/o INDICADORES (Incluye cálculo de descuento por incumplimiento de ANS)                                                                                                                                                                                                                                                                                                                                                                                                                                                       
3. Facturas electrónicas:  Se anexan las facturas todas correspondientes al mes de Diciembre 2025. Sobre el valor total se calculó el descuento por incumplimiento de ANS nota crédito No. 1- 229 se causa en la factura FE 1948. Se anexan las facturas: No FE 1947 (Prestación de servicios de salud para los asegurados y/o afiliados aPositiva en Riesgos Laborales-correspondiente al mes de diciembre del 2025); No. FE 1948 (Prestación de los servicios de asistencia en salud en Accidentespersonales-correspondiente al mes de diciembre 2025), No. FE 1949 (Prestación de los servicio de asistencia en salud en Vida Grupo-correspondiente al mes de diciembre 2025),  No. FE 1950 (Prestación de los servicios de asistencia en Salud-correspondienteal mes de diciembre), No. FE 1951 (ASISTENCIA POLIZA - 3100024217-UNIVERSIDAD NACIONAL DECOLOMBIA CORRESPONDIENTE AL MES DE DICIEMBRE). Nota Crédito No. 1-229 (descuento del ANS calidad de lainformacion del mes de diciembrepor valor de $7.175.987,73)
4. Soporte de pago PILA y certificado seguridad social y parafiscales. 
5. Autorizaciones generadas
6. Habilitación del proveedor de acuerdo con el tipo de servicio. 
7. Comunicaciones con el proveedor.         
8. Informe de atenciones mes Diciembre 2025 y RIPS 
9. Informe gestion de Siniestros diciembre</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</si>
  <si>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</si>
  <si>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</si>
  <si>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</si>
  <si>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</si>
  <si>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 xml:space="preserve">Firma: </t>
  </si>
  <si>
    <r>
      <rPr>
        <b/>
        <sz val="11"/>
        <color rgb="FF000000"/>
        <rFont val="Arial"/>
        <family val="2"/>
      </rPr>
      <t>Nombre:</t>
    </r>
    <r>
      <rPr>
        <sz val="11"/>
        <color rgb="FF000000"/>
        <rFont val="Arial"/>
        <family val="2"/>
      </rPr>
      <t xml:space="preserve"> Oscar Enciso Alvarez</t>
    </r>
  </si>
  <si>
    <r>
      <rPr>
        <b/>
        <sz val="11"/>
        <color rgb="FF000000"/>
        <rFont val="Arial"/>
        <family val="2"/>
      </rPr>
      <t>Cargo:</t>
    </r>
    <r>
      <rPr>
        <sz val="11"/>
        <color rgb="FF000000"/>
        <rFont val="Arial"/>
        <family val="2"/>
      </rPr>
      <t xml:space="preserve"> Analista auditor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</si>
</sst>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Red]\-&quot;$&quot;\ #,##0.00"/>
    <numFmt numFmtId="165" formatCode="d\-mmm\-yyyy"/>
  </numFmts>
  <fonts count="18">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sz val="11"/>
      <color rgb="FFFF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
      <patternFill patternType="solid">
        <fgColor theme="0"/>
        <bgColor indexed="64"/>
      </patternFill>
    </fill>
  </fills>
  <borders count="4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right/>
      <top/>
      <bottom style="thin">
        <color rgb="FF000000"/>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bottom style="thin">
        <color rgb="FF000000"/>
      </bottom>
      <diagonal/>
    </border>
    <border>
      <left/>
      <right style="thin">
        <color indexed="64"/>
      </right>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style="thin">
        <color rgb="FF000000"/>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9" fillId="0" borderId="5" xfId="0" applyNumberFormat="1" applyFont="1" applyBorder="1" applyAlignment="1">
      <alignment horizontal="left" vertical="center" wrapText="1"/>
    </xf>
    <xf numFmtId="0" fontId="7"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12" fillId="0" borderId="4" xfId="0" applyFont="1" applyBorder="1" applyAlignment="1">
      <alignment wrapText="1"/>
    </xf>
    <xf numFmtId="0" fontId="12" fillId="0" borderId="5" xfId="0" applyFont="1" applyBorder="1" applyAlignment="1">
      <alignment horizontal="center" vertical="center" wrapText="1"/>
    </xf>
    <xf numFmtId="0" fontId="13" fillId="0" borderId="5" xfId="0" applyFont="1" applyBorder="1" applyAlignment="1">
      <alignment vertical="center" wrapText="1"/>
    </xf>
    <xf numFmtId="49" fontId="12" fillId="0" borderId="5" xfId="0" applyNumberFormat="1" applyFont="1" applyBorder="1" applyAlignment="1">
      <alignment horizontal="center" vertical="center" wrapText="1"/>
    </xf>
    <xf numFmtId="0" fontId="13" fillId="2" borderId="5" xfId="0" applyFont="1" applyFill="1" applyBorder="1" applyAlignment="1">
      <alignment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14" fontId="12" fillId="0" borderId="5" xfId="0" applyNumberFormat="1" applyFont="1" applyBorder="1" applyAlignment="1">
      <alignment horizontal="center" vertical="center" wrapText="1"/>
    </xf>
    <xf numFmtId="0" fontId="14" fillId="0" borderId="8" xfId="1" applyFont="1" applyBorder="1"/>
    <xf numFmtId="0" fontId="2" fillId="0" borderId="9" xfId="1" applyFont="1" applyBorder="1" applyAlignment="1">
      <alignment wrapText="1"/>
    </xf>
    <xf numFmtId="0" fontId="3" fillId="0" borderId="10" xfId="1" applyFont="1" applyBorder="1" applyAlignment="1">
      <alignment wrapText="1"/>
    </xf>
    <xf numFmtId="0" fontId="3" fillId="0" borderId="12"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16" fillId="6" borderId="30" xfId="0" applyFont="1" applyFill="1" applyBorder="1" applyAlignment="1">
      <alignment horizontal="center" vertical="center" wrapText="1"/>
    </xf>
    <xf numFmtId="0" fontId="16" fillId="6" borderId="18" xfId="0" applyFont="1" applyFill="1" applyBorder="1" applyAlignment="1">
      <alignment horizontal="center" vertical="center" wrapText="1"/>
    </xf>
    <xf numFmtId="0" fontId="16" fillId="6" borderId="31" xfId="0" applyFont="1" applyFill="1" applyBorder="1" applyAlignment="1">
      <alignment horizontal="center" vertical="center" wrapText="1"/>
    </xf>
    <xf numFmtId="0" fontId="15" fillId="6" borderId="30" xfId="0" applyFont="1" applyFill="1" applyBorder="1" applyAlignment="1">
      <alignment horizontal="center" vertical="center" wrapText="1"/>
    </xf>
    <xf numFmtId="0" fontId="15" fillId="0" borderId="18" xfId="0" applyFont="1" applyBorder="1" applyAlignment="1">
      <alignment horizontal="center" vertical="center" wrapText="1"/>
    </xf>
    <xf numFmtId="0" fontId="15" fillId="0" borderId="31" xfId="0" applyFont="1" applyBorder="1" applyAlignment="1">
      <alignment horizontal="center" vertical="center" wrapText="1"/>
    </xf>
    <xf numFmtId="0" fontId="16" fillId="6" borderId="21" xfId="0" applyFont="1" applyFill="1" applyBorder="1" applyAlignment="1">
      <alignment horizontal="center" vertical="center" wrapText="1"/>
    </xf>
    <xf numFmtId="0" fontId="15" fillId="0" borderId="23" xfId="0" applyFont="1" applyBorder="1" applyAlignment="1">
      <alignment horizontal="center" vertical="center" wrapText="1"/>
    </xf>
    <xf numFmtId="0" fontId="16" fillId="6" borderId="23" xfId="0" applyFont="1" applyFill="1" applyBorder="1" applyAlignment="1">
      <alignment horizontal="center" vertical="center" wrapText="1"/>
    </xf>
    <xf numFmtId="3" fontId="16" fillId="0" borderId="5" xfId="0" applyNumberFormat="1" applyFont="1" applyBorder="1" applyAlignment="1">
      <alignment horizontal="center" vertical="center" wrapText="1"/>
    </xf>
    <xf numFmtId="4" fontId="12" fillId="0" borderId="3" xfId="0" applyNumberFormat="1" applyFont="1" applyBorder="1" applyAlignment="1">
      <alignment wrapText="1"/>
    </xf>
    <xf numFmtId="4" fontId="12" fillId="0" borderId="3" xfId="0" applyNumberFormat="1" applyFont="1" applyBorder="1" applyAlignment="1">
      <alignment horizontal="right" wrapText="1"/>
    </xf>
    <xf numFmtId="2" fontId="12" fillId="0" borderId="3" xfId="0" applyNumberFormat="1" applyFont="1" applyBorder="1" applyAlignment="1">
      <alignment wrapText="1"/>
    </xf>
    <xf numFmtId="0" fontId="12" fillId="0" borderId="3" xfId="0" applyFont="1" applyBorder="1" applyAlignment="1">
      <alignment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7"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6" fillId="6" borderId="28" xfId="0" applyFont="1" applyFill="1" applyBorder="1" applyAlignment="1">
      <alignment horizontal="center" vertical="center" wrapText="1"/>
    </xf>
    <xf numFmtId="0" fontId="16" fillId="6" borderId="16"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5" fillId="0" borderId="37"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39" xfId="0" applyFont="1" applyBorder="1" applyAlignment="1">
      <alignment horizontal="center" vertical="center" wrapText="1"/>
    </xf>
    <xf numFmtId="0" fontId="16" fillId="6" borderId="32"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16" fillId="6" borderId="33" xfId="0" applyFont="1" applyFill="1" applyBorder="1" applyAlignment="1">
      <alignment horizontal="center" vertical="center" wrapText="1"/>
    </xf>
    <xf numFmtId="0" fontId="16" fillId="6" borderId="20"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16" fillId="6" borderId="22" xfId="0" applyFont="1" applyFill="1" applyBorder="1" applyAlignment="1">
      <alignment horizontal="center" vertical="center" wrapText="1"/>
    </xf>
    <xf numFmtId="0" fontId="15" fillId="0" borderId="20" xfId="0" applyFont="1" applyBorder="1" applyAlignment="1">
      <alignment vertical="center" wrapText="1"/>
    </xf>
    <xf numFmtId="0" fontId="15" fillId="0" borderId="21" xfId="0" applyFont="1" applyBorder="1" applyAlignment="1">
      <alignmen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6" fillId="6" borderId="34" xfId="0" applyFont="1" applyFill="1" applyBorder="1" applyAlignment="1">
      <alignment horizontal="center" vertical="center" wrapText="1"/>
    </xf>
    <xf numFmtId="0" fontId="16" fillId="6" borderId="25" xfId="0" applyFont="1" applyFill="1" applyBorder="1" applyAlignment="1">
      <alignment horizontal="center" vertical="center" wrapText="1"/>
    </xf>
    <xf numFmtId="0" fontId="16" fillId="6" borderId="31" xfId="0" applyFont="1" applyFill="1" applyBorder="1" applyAlignment="1">
      <alignment horizontal="center" vertical="center" wrapText="1"/>
    </xf>
    <xf numFmtId="0" fontId="15" fillId="0" borderId="35" xfId="0" applyFont="1" applyBorder="1" applyAlignment="1">
      <alignment vertical="center" wrapText="1"/>
    </xf>
    <xf numFmtId="0" fontId="15" fillId="0" borderId="26" xfId="0" applyFont="1" applyBorder="1" applyAlignment="1">
      <alignment vertical="center" wrapText="1"/>
    </xf>
    <xf numFmtId="0" fontId="15" fillId="0" borderId="27"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5" xfId="0" applyFont="1" applyBorder="1" applyAlignment="1">
      <alignment horizontal="left" vertical="center" wrapText="1"/>
    </xf>
    <xf numFmtId="0" fontId="12" fillId="0" borderId="5" xfId="0" applyFont="1" applyBorder="1" applyAlignment="1">
      <alignment horizontal="left" vertical="center" wrapText="1"/>
    </xf>
    <xf numFmtId="0" fontId="16" fillId="6" borderId="5" xfId="0" applyFont="1" applyFill="1" applyBorder="1" applyAlignment="1">
      <alignment horizontal="left" vertical="center" wrapText="1"/>
    </xf>
    <xf numFmtId="164" fontId="15" fillId="7" borderId="40" xfId="0" applyNumberFormat="1" applyFont="1" applyFill="1" applyBorder="1" applyAlignment="1">
      <alignment horizontal="right" vertical="center" wrapText="1"/>
    </xf>
    <xf numFmtId="0" fontId="15" fillId="7" borderId="36" xfId="0" applyFont="1" applyFill="1" applyBorder="1" applyAlignment="1">
      <alignment horizontal="left" vertical="center" wrapText="1"/>
    </xf>
    <xf numFmtId="164" fontId="15" fillId="7" borderId="36" xfId="0" applyNumberFormat="1" applyFont="1" applyFill="1" applyBorder="1" applyAlignment="1">
      <alignment horizontal="right" vertical="center" wrapText="1"/>
    </xf>
    <xf numFmtId="0" fontId="13" fillId="0" borderId="5" xfId="0" applyFont="1" applyBorder="1" applyAlignment="1">
      <alignment vertical="center" wrapText="1"/>
    </xf>
    <xf numFmtId="0" fontId="12" fillId="0" borderId="5" xfId="0" applyFont="1" applyBorder="1" applyAlignment="1">
      <alignment vertical="center" wrapText="1"/>
    </xf>
    <xf numFmtId="0" fontId="15" fillId="0" borderId="5" xfId="0" applyFont="1" applyBorder="1" applyAlignment="1">
      <alignment vertical="center" wrapText="1"/>
    </xf>
    <xf numFmtId="0" fontId="16" fillId="0" borderId="5" xfId="0" applyFont="1" applyBorder="1" applyAlignment="1">
      <alignment vertical="center" wrapText="1"/>
    </xf>
    <xf numFmtId="0" fontId="13" fillId="2" borderId="5" xfId="0" applyFont="1" applyFill="1" applyBorder="1" applyAlignment="1">
      <alignment horizontal="center" wrapText="1"/>
    </xf>
    <xf numFmtId="0" fontId="12" fillId="2" borderId="5" xfId="0" applyFont="1" applyFill="1" applyBorder="1" applyAlignment="1">
      <alignment horizontal="center" wrapText="1"/>
    </xf>
    <xf numFmtId="0" fontId="12" fillId="2" borderId="41" xfId="0" applyFont="1" applyFill="1" applyBorder="1" applyAlignment="1">
      <alignment horizontal="center" wrapText="1"/>
    </xf>
    <xf numFmtId="0" fontId="12"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1"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7" xfId="0" applyFont="1" applyBorder="1" applyAlignment="1">
      <alignment horizontal="center" vertical="center" wrapText="1"/>
    </xf>
    <xf numFmtId="0" fontId="16" fillId="6" borderId="29" xfId="0" applyFont="1" applyFill="1" applyBorder="1" applyAlignment="1">
      <alignment horizontal="center" vertical="center" wrapText="1"/>
    </xf>
    <xf numFmtId="0" fontId="15" fillId="0" borderId="16" xfId="0" applyFont="1" applyBorder="1" applyAlignment="1">
      <alignment horizontal="center" vertical="center" wrapText="1"/>
    </xf>
    <xf numFmtId="0" fontId="13" fillId="0" borderId="5" xfId="0" applyFont="1" applyBorder="1" applyAlignment="1">
      <alignment horizontal="justify" vertical="center" wrapText="1"/>
    </xf>
    <xf numFmtId="0" fontId="12" fillId="0" borderId="5" xfId="0" applyFont="1" applyBorder="1" applyAlignment="1">
      <alignment horizontal="center" wrapText="1"/>
    </xf>
    <xf numFmtId="0" fontId="4" fillId="0" borderId="11" xfId="1" applyFont="1" applyBorder="1" applyAlignment="1">
      <alignment horizontal="left"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14" fontId="12" fillId="0" borderId="5" xfId="0" applyNumberFormat="1" applyFont="1" applyBorder="1" applyAlignment="1">
      <alignment horizont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628650</xdr:colOff>
      <xdr:row>59</xdr:row>
      <xdr:rowOff>119459</xdr:rowOff>
    </xdr:from>
    <xdr:to>
      <xdr:col>0</xdr:col>
      <xdr:colOff>1389691</xdr:colOff>
      <xdr:row>59</xdr:row>
      <xdr:rowOff>381067</xdr:rowOff>
    </xdr:to>
    <xdr:pic>
      <xdr:nvPicPr>
        <xdr:cNvPr id="3" name="Imagen 2" descr="Imagen que contiene animal&#10;&#10;Descripción generada automáticamente">
          <a:extLst>
            <a:ext uri="{FF2B5EF4-FFF2-40B4-BE49-F238E27FC236}">
              <a16:creationId xmlns:a16="http://schemas.microsoft.com/office/drawing/2014/main" id="{B06C9DC9-71A6-434D-93FF-AFF4061853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8650" y="27716559"/>
          <a:ext cx="761041" cy="261608"/>
        </a:xfrm>
        <a:prstGeom prst="rect">
          <a:avLst/>
        </a:prstGeom>
      </xdr:spPr>
    </xdr:pic>
    <xdr:clientData/>
  </xdr:twoCellAnchor>
  <xdr:twoCellAnchor editAs="oneCell">
    <xdr:from>
      <xdr:col>0</xdr:col>
      <xdr:colOff>612321</xdr:colOff>
      <xdr:row>62</xdr:row>
      <xdr:rowOff>149679</xdr:rowOff>
    </xdr:from>
    <xdr:to>
      <xdr:col>0</xdr:col>
      <xdr:colOff>1287034</xdr:colOff>
      <xdr:row>62</xdr:row>
      <xdr:rowOff>681705</xdr:rowOff>
    </xdr:to>
    <xdr:pic>
      <xdr:nvPicPr>
        <xdr:cNvPr id="5" name="Imagen 4">
          <a:extLst>
            <a:ext uri="{FF2B5EF4-FFF2-40B4-BE49-F238E27FC236}">
              <a16:creationId xmlns:a16="http://schemas.microsoft.com/office/drawing/2014/main" id="{A05A24B9-C652-49B0-ABA7-29F351F2672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2321" y="28438929"/>
          <a:ext cx="674713" cy="5320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3" t="s">
        <v>1</v>
      </c>
      <c r="B2" s="53"/>
      <c r="C2" s="53"/>
      <c r="D2" s="53"/>
      <c r="E2" s="5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4" t="s">
        <v>2</v>
      </c>
      <c r="B5" s="54"/>
      <c r="C5" s="55" t="s">
        <v>3</v>
      </c>
      <c r="D5" s="55"/>
      <c r="E5" s="7"/>
      <c r="F5" s="8" t="s">
        <v>4</v>
      </c>
      <c r="G5" s="56" t="s">
        <v>5</v>
      </c>
      <c r="H5" s="5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7" t="s">
        <v>8</v>
      </c>
      <c r="D7" s="57"/>
      <c r="E7" s="57"/>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H64"/>
  <sheetViews>
    <sheetView tabSelected="1" view="pageBreakPreview" topLeftCell="A46" zoomScale="80" zoomScaleNormal="100" zoomScaleSheetLayoutView="80" workbookViewId="0">
      <selection activeCell="A55" sqref="A55:F55"/>
    </sheetView>
  </sheetViews>
  <sheetFormatPr defaultColWidth="9.140625" defaultRowHeight="14.25"/>
  <cols>
    <col min="1" max="1" width="22.5703125" style="21" customWidth="1"/>
    <col min="2" max="2" width="24.85546875" style="21" customWidth="1"/>
    <col min="3" max="4" width="34.42578125" style="21" customWidth="1"/>
    <col min="5" max="5" width="19.7109375" style="21" customWidth="1"/>
    <col min="6" max="6" width="23.5703125" style="21" customWidth="1"/>
    <col min="7" max="7" width="21.42578125" style="21" customWidth="1"/>
    <col min="8" max="16384" width="9.140625" style="21"/>
  </cols>
  <sheetData>
    <row r="1" spans="1:8" ht="23.25" customHeight="1">
      <c r="A1" s="32" t="s">
        <v>0</v>
      </c>
      <c r="B1" s="33"/>
      <c r="C1" s="33"/>
      <c r="D1" s="33"/>
      <c r="E1" s="33"/>
      <c r="F1" s="34"/>
      <c r="G1" s="20"/>
      <c r="H1" s="20"/>
    </row>
    <row r="2" spans="1:8">
      <c r="A2" s="106" t="s">
        <v>17</v>
      </c>
      <c r="B2" s="107"/>
      <c r="C2" s="107"/>
      <c r="D2" s="107"/>
      <c r="E2" s="107"/>
      <c r="F2" s="35"/>
      <c r="G2" s="20"/>
      <c r="H2" s="20"/>
    </row>
    <row r="3" spans="1:8" ht="23.25" customHeight="1">
      <c r="A3" s="36"/>
      <c r="B3" s="22"/>
      <c r="C3" s="22"/>
      <c r="D3" s="22"/>
      <c r="E3" s="22"/>
      <c r="F3" s="37"/>
      <c r="G3" s="20"/>
      <c r="H3" s="20"/>
    </row>
    <row r="4" spans="1:8">
      <c r="A4" s="108" t="s">
        <v>18</v>
      </c>
      <c r="B4" s="108"/>
      <c r="C4" s="108"/>
      <c r="D4" s="108"/>
      <c r="E4" s="108"/>
      <c r="F4" s="108"/>
      <c r="G4" s="22"/>
      <c r="H4" s="20"/>
    </row>
    <row r="5" spans="1:8" ht="15">
      <c r="A5" s="93" t="s">
        <v>19</v>
      </c>
      <c r="B5" s="93"/>
      <c r="C5" s="93"/>
      <c r="D5" s="93" t="s">
        <v>20</v>
      </c>
      <c r="E5" s="93"/>
      <c r="F5" s="93"/>
    </row>
    <row r="6" spans="1:8">
      <c r="A6" s="96" t="s">
        <v>21</v>
      </c>
      <c r="B6" s="96"/>
      <c r="C6" s="96"/>
      <c r="D6" s="96" t="s">
        <v>22</v>
      </c>
      <c r="E6" s="96"/>
      <c r="F6" s="96"/>
    </row>
    <row r="7" spans="1:8" ht="15">
      <c r="A7" s="93" t="s">
        <v>23</v>
      </c>
      <c r="B7" s="93"/>
      <c r="C7" s="93"/>
      <c r="D7" s="93" t="s">
        <v>24</v>
      </c>
      <c r="E7" s="93"/>
      <c r="F7" s="93"/>
    </row>
    <row r="8" spans="1:8" ht="30" customHeight="1">
      <c r="A8" s="96">
        <v>901439163</v>
      </c>
      <c r="B8" s="96"/>
      <c r="C8" s="96"/>
      <c r="D8" s="96" t="s">
        <v>25</v>
      </c>
      <c r="E8" s="96"/>
      <c r="F8" s="96"/>
    </row>
    <row r="9" spans="1:8" ht="15">
      <c r="A9" s="93" t="s">
        <v>26</v>
      </c>
      <c r="B9" s="93"/>
      <c r="C9" s="93"/>
      <c r="D9" s="109">
        <v>45591</v>
      </c>
      <c r="E9" s="105"/>
      <c r="F9" s="105"/>
    </row>
    <row r="10" spans="1:8" ht="15">
      <c r="A10" s="93" t="s">
        <v>27</v>
      </c>
      <c r="B10" s="93"/>
      <c r="C10" s="93"/>
      <c r="D10" s="109">
        <v>46326</v>
      </c>
      <c r="E10" s="105"/>
      <c r="F10" s="105"/>
    </row>
    <row r="11" spans="1:8" ht="15">
      <c r="A11" s="93" t="s">
        <v>28</v>
      </c>
      <c r="B11" s="93"/>
      <c r="C11" s="93"/>
      <c r="D11" s="93"/>
      <c r="E11" s="93"/>
      <c r="F11" s="93"/>
    </row>
    <row r="12" spans="1:8" ht="57.75" customHeight="1">
      <c r="A12" s="96" t="s">
        <v>29</v>
      </c>
      <c r="B12" s="96"/>
      <c r="C12" s="96"/>
      <c r="D12" s="96"/>
      <c r="E12" s="96"/>
      <c r="F12" s="96"/>
    </row>
    <row r="13" spans="1:8" ht="15">
      <c r="A13" s="93" t="s">
        <v>30</v>
      </c>
      <c r="B13" s="93"/>
      <c r="C13" s="93"/>
      <c r="D13" s="93"/>
      <c r="E13" s="93"/>
      <c r="F13" s="93"/>
    </row>
    <row r="14" spans="1:8" ht="193.5" customHeight="1">
      <c r="A14" s="25" t="s">
        <v>31</v>
      </c>
      <c r="B14" s="25" t="s">
        <v>32</v>
      </c>
      <c r="C14" s="104" t="s">
        <v>33</v>
      </c>
      <c r="D14" s="104"/>
      <c r="E14" s="104"/>
      <c r="F14" s="104"/>
    </row>
    <row r="15" spans="1:8" ht="15">
      <c r="A15" s="93" t="s">
        <v>34</v>
      </c>
      <c r="B15" s="93"/>
      <c r="C15" s="93"/>
      <c r="D15" s="93"/>
      <c r="E15" s="93"/>
      <c r="F15" s="93"/>
    </row>
    <row r="16" spans="1:8" ht="15">
      <c r="A16" s="93" t="s">
        <v>35</v>
      </c>
      <c r="B16" s="93"/>
      <c r="C16" s="26" t="s">
        <v>36</v>
      </c>
      <c r="D16" s="27" t="s">
        <v>37</v>
      </c>
      <c r="E16" s="105" t="s">
        <v>38</v>
      </c>
      <c r="F16" s="105"/>
    </row>
    <row r="17" spans="1:6" ht="15">
      <c r="A17" s="93" t="s">
        <v>39</v>
      </c>
      <c r="B17" s="93"/>
      <c r="C17" s="93"/>
      <c r="D17" s="93"/>
      <c r="E17" s="93"/>
      <c r="F17" s="93"/>
    </row>
    <row r="18" spans="1:6" ht="20.25" customHeight="1">
      <c r="A18" s="96" t="s">
        <v>40</v>
      </c>
      <c r="B18" s="96"/>
      <c r="C18" s="96"/>
      <c r="D18" s="96"/>
      <c r="E18" s="96"/>
      <c r="F18" s="96"/>
    </row>
    <row r="19" spans="1:6" ht="15">
      <c r="A19" s="93" t="s">
        <v>41</v>
      </c>
      <c r="B19" s="93"/>
      <c r="C19" s="93"/>
      <c r="D19" s="93"/>
      <c r="E19" s="93"/>
      <c r="F19" s="93"/>
    </row>
    <row r="20" spans="1:6" ht="46.5" customHeight="1">
      <c r="A20" s="97" t="s">
        <v>42</v>
      </c>
      <c r="B20" s="98"/>
      <c r="C20" s="98"/>
      <c r="D20" s="98"/>
      <c r="E20" s="98"/>
      <c r="F20" s="99"/>
    </row>
    <row r="21" spans="1:6" ht="15">
      <c r="A21" s="93" t="s">
        <v>43</v>
      </c>
      <c r="B21" s="93"/>
      <c r="C21" s="93"/>
      <c r="D21" s="93"/>
      <c r="E21" s="93"/>
      <c r="F21" s="93"/>
    </row>
    <row r="22" spans="1:6" ht="15">
      <c r="A22" s="58" t="s">
        <v>44</v>
      </c>
      <c r="B22" s="58" t="s">
        <v>45</v>
      </c>
      <c r="C22" s="58" t="s">
        <v>46</v>
      </c>
      <c r="D22" s="58" t="s">
        <v>47</v>
      </c>
      <c r="E22" s="93" t="s">
        <v>48</v>
      </c>
      <c r="F22" s="93"/>
    </row>
    <row r="23" spans="1:6" ht="15">
      <c r="A23" s="58"/>
      <c r="B23" s="58"/>
      <c r="C23" s="58"/>
      <c r="D23" s="58"/>
      <c r="E23" s="28" t="s">
        <v>49</v>
      </c>
      <c r="F23" s="28" t="s">
        <v>50</v>
      </c>
    </row>
    <row r="24" spans="1:6" ht="21" customHeight="1">
      <c r="A24" s="59" t="s">
        <v>51</v>
      </c>
      <c r="B24" s="24" t="s">
        <v>52</v>
      </c>
      <c r="C24" s="24" t="s">
        <v>52</v>
      </c>
      <c r="D24" s="30" t="s">
        <v>53</v>
      </c>
      <c r="E24" s="24" t="s">
        <v>52</v>
      </c>
      <c r="F24" s="24" t="s">
        <v>52</v>
      </c>
    </row>
    <row r="25" spans="1:6" ht="21" customHeight="1">
      <c r="A25" s="59"/>
      <c r="B25" s="24" t="s">
        <v>52</v>
      </c>
      <c r="C25" s="24" t="s">
        <v>52</v>
      </c>
      <c r="D25" s="30" t="s">
        <v>54</v>
      </c>
      <c r="E25" s="24" t="s">
        <v>52</v>
      </c>
      <c r="F25" s="24" t="s">
        <v>52</v>
      </c>
    </row>
    <row r="26" spans="1:6" ht="21.75" customHeight="1">
      <c r="A26" s="59"/>
      <c r="B26" s="24" t="s">
        <v>52</v>
      </c>
      <c r="C26" s="24" t="s">
        <v>52</v>
      </c>
      <c r="D26" s="30" t="s">
        <v>55</v>
      </c>
      <c r="E26" s="24" t="s">
        <v>52</v>
      </c>
      <c r="F26" s="24" t="s">
        <v>52</v>
      </c>
    </row>
    <row r="27" spans="1:6" ht="64.5" customHeight="1">
      <c r="A27" s="29" t="s">
        <v>56</v>
      </c>
      <c r="B27" s="24" t="s">
        <v>52</v>
      </c>
      <c r="C27" s="24" t="s">
        <v>52</v>
      </c>
      <c r="D27" s="30" t="s">
        <v>57</v>
      </c>
      <c r="E27" s="24" t="s">
        <v>52</v>
      </c>
      <c r="F27" s="24" t="s">
        <v>52</v>
      </c>
    </row>
    <row r="28" spans="1:6" ht="85.5">
      <c r="A28" s="29" t="s">
        <v>58</v>
      </c>
      <c r="B28" s="24" t="s">
        <v>59</v>
      </c>
      <c r="C28" s="24" t="s">
        <v>60</v>
      </c>
      <c r="D28" s="30" t="s">
        <v>61</v>
      </c>
      <c r="E28" s="31">
        <v>45934</v>
      </c>
      <c r="F28" s="31">
        <v>46299</v>
      </c>
    </row>
    <row r="29" spans="1:6" ht="14.25" customHeight="1">
      <c r="A29" s="60" t="s">
        <v>62</v>
      </c>
      <c r="B29" s="61"/>
      <c r="C29" s="61"/>
      <c r="D29" s="61"/>
      <c r="E29" s="61"/>
      <c r="F29" s="102"/>
    </row>
    <row r="30" spans="1:6" ht="15">
      <c r="A30" s="38" t="s">
        <v>63</v>
      </c>
      <c r="B30" s="39" t="s">
        <v>64</v>
      </c>
      <c r="C30" s="39" t="s">
        <v>65</v>
      </c>
      <c r="D30" s="61" t="s">
        <v>66</v>
      </c>
      <c r="E30" s="62"/>
      <c r="F30" s="40" t="s">
        <v>67</v>
      </c>
    </row>
    <row r="31" spans="1:6" ht="198" customHeight="1">
      <c r="A31" s="41" t="s">
        <v>68</v>
      </c>
      <c r="B31" s="42" t="s">
        <v>69</v>
      </c>
      <c r="C31" s="42" t="s">
        <v>70</v>
      </c>
      <c r="D31" s="103" t="s">
        <v>71</v>
      </c>
      <c r="E31" s="101"/>
      <c r="F31" s="43" t="s">
        <v>72</v>
      </c>
    </row>
    <row r="32" spans="1:6" ht="27" customHeight="1">
      <c r="A32" s="41" t="s">
        <v>73</v>
      </c>
      <c r="B32" s="42" t="s">
        <v>52</v>
      </c>
      <c r="C32" s="42" t="s">
        <v>52</v>
      </c>
      <c r="D32" s="100" t="s">
        <v>52</v>
      </c>
      <c r="E32" s="101"/>
      <c r="F32" s="43" t="s">
        <v>52</v>
      </c>
    </row>
    <row r="33" spans="1:7" ht="22.5" customHeight="1">
      <c r="A33" s="41" t="s">
        <v>74</v>
      </c>
      <c r="B33" s="42" t="s">
        <v>52</v>
      </c>
      <c r="C33" s="42" t="s">
        <v>52</v>
      </c>
      <c r="D33" s="100" t="s">
        <v>52</v>
      </c>
      <c r="E33" s="101"/>
      <c r="F33" s="43" t="s">
        <v>52</v>
      </c>
    </row>
    <row r="34" spans="1:7" ht="39" customHeight="1">
      <c r="A34" s="41" t="s">
        <v>75</v>
      </c>
      <c r="B34" s="42" t="s">
        <v>52</v>
      </c>
      <c r="C34" s="42" t="s">
        <v>52</v>
      </c>
      <c r="D34" s="100" t="s">
        <v>52</v>
      </c>
      <c r="E34" s="101"/>
      <c r="F34" s="43" t="s">
        <v>52</v>
      </c>
    </row>
    <row r="35" spans="1:7" ht="15">
      <c r="A35" s="66" t="s">
        <v>76</v>
      </c>
      <c r="B35" s="67"/>
      <c r="C35" s="67"/>
      <c r="D35" s="67"/>
      <c r="E35" s="67"/>
      <c r="F35" s="68"/>
    </row>
    <row r="36" spans="1:7" ht="15">
      <c r="A36" s="69" t="s">
        <v>77</v>
      </c>
      <c r="B36" s="70"/>
      <c r="C36" s="44" t="s">
        <v>65</v>
      </c>
      <c r="D36" s="71" t="s">
        <v>66</v>
      </c>
      <c r="E36" s="70"/>
      <c r="F36" s="44" t="s">
        <v>78</v>
      </c>
    </row>
    <row r="37" spans="1:7" ht="35.25" customHeight="1">
      <c r="A37" s="72" t="s">
        <v>79</v>
      </c>
      <c r="B37" s="73"/>
      <c r="C37" s="45" t="s">
        <v>80</v>
      </c>
      <c r="D37" s="74" t="s">
        <v>81</v>
      </c>
      <c r="E37" s="75"/>
      <c r="F37" s="45" t="s">
        <v>82</v>
      </c>
    </row>
    <row r="38" spans="1:7" ht="15">
      <c r="A38" s="76" t="s">
        <v>83</v>
      </c>
      <c r="B38" s="77"/>
      <c r="C38" s="77"/>
      <c r="D38" s="77"/>
      <c r="E38" s="77"/>
      <c r="F38" s="78"/>
    </row>
    <row r="39" spans="1:7" ht="15">
      <c r="A39" s="69" t="s">
        <v>77</v>
      </c>
      <c r="B39" s="70"/>
      <c r="C39" s="46" t="s">
        <v>65</v>
      </c>
      <c r="D39" s="71" t="s">
        <v>66</v>
      </c>
      <c r="E39" s="70"/>
      <c r="F39" s="46" t="s">
        <v>78</v>
      </c>
    </row>
    <row r="40" spans="1:7" ht="71.25" customHeight="1">
      <c r="A40" s="79" t="s">
        <v>84</v>
      </c>
      <c r="B40" s="80"/>
      <c r="C40" s="45" t="s">
        <v>80</v>
      </c>
      <c r="D40" s="81" t="s">
        <v>85</v>
      </c>
      <c r="E40" s="82"/>
      <c r="F40" s="43" t="s">
        <v>82</v>
      </c>
    </row>
    <row r="41" spans="1:7" ht="15">
      <c r="A41" s="93" t="s">
        <v>86</v>
      </c>
      <c r="B41" s="93"/>
      <c r="C41" s="93"/>
      <c r="D41" s="93"/>
      <c r="E41" s="93"/>
      <c r="F41" s="93"/>
    </row>
    <row r="42" spans="1:7" ht="36.75" customHeight="1">
      <c r="A42" s="85" t="s">
        <v>87</v>
      </c>
      <c r="B42" s="85"/>
      <c r="C42" s="47">
        <v>5484</v>
      </c>
      <c r="D42" s="85" t="s">
        <v>88</v>
      </c>
      <c r="E42" s="85"/>
      <c r="F42" s="47">
        <v>5214</v>
      </c>
    </row>
    <row r="43" spans="1:7" ht="348.75" customHeight="1">
      <c r="A43" s="83" t="s">
        <v>89</v>
      </c>
      <c r="B43" s="84"/>
      <c r="C43" s="84"/>
      <c r="D43" s="84"/>
      <c r="E43" s="84"/>
      <c r="F43" s="84"/>
    </row>
    <row r="44" spans="1:7" ht="21" customHeight="1">
      <c r="A44" s="58" t="s">
        <v>90</v>
      </c>
      <c r="B44" s="59"/>
      <c r="C44" s="59"/>
      <c r="D44" s="59"/>
      <c r="E44" s="59"/>
      <c r="F44" s="59"/>
    </row>
    <row r="45" spans="1:7" ht="21" customHeight="1">
      <c r="A45" s="60" t="s">
        <v>91</v>
      </c>
      <c r="B45" s="61"/>
      <c r="C45" s="62"/>
      <c r="D45" s="63" t="s">
        <v>92</v>
      </c>
      <c r="E45" s="64"/>
      <c r="F45" s="65"/>
    </row>
    <row r="46" spans="1:7" ht="54.75" customHeight="1">
      <c r="A46" s="60" t="s">
        <v>93</v>
      </c>
      <c r="B46" s="61"/>
      <c r="C46" s="61"/>
      <c r="D46" s="88">
        <v>8867646466.2700005</v>
      </c>
      <c r="E46" s="88"/>
      <c r="F46" s="88"/>
      <c r="G46" s="48"/>
    </row>
    <row r="47" spans="1:7" ht="27.75" customHeight="1">
      <c r="A47" s="60" t="s">
        <v>94</v>
      </c>
      <c r="B47" s="61"/>
      <c r="C47" s="61"/>
      <c r="D47" s="88">
        <v>633470501.78999996</v>
      </c>
      <c r="E47" s="88"/>
      <c r="F47" s="88"/>
      <c r="G47" s="48"/>
    </row>
    <row r="48" spans="1:7" ht="27.75" customHeight="1">
      <c r="A48" s="60" t="s">
        <v>95</v>
      </c>
      <c r="B48" s="61"/>
      <c r="C48" s="61"/>
      <c r="D48" s="88">
        <v>66088664.880000003</v>
      </c>
      <c r="E48" s="88"/>
      <c r="F48" s="88"/>
      <c r="G48" s="49"/>
    </row>
    <row r="49" spans="1:7" ht="27.75" customHeight="1">
      <c r="A49" s="60" t="s">
        <v>96</v>
      </c>
      <c r="B49" s="61"/>
      <c r="C49" s="61"/>
      <c r="D49" s="88">
        <v>20337</v>
      </c>
      <c r="E49" s="88"/>
      <c r="F49" s="88"/>
      <c r="G49" s="50"/>
    </row>
    <row r="50" spans="1:7" ht="27.75" customHeight="1">
      <c r="A50" s="60" t="s">
        <v>97</v>
      </c>
      <c r="B50" s="61"/>
      <c r="C50" s="61"/>
      <c r="D50" s="88">
        <v>101685</v>
      </c>
      <c r="E50" s="88"/>
      <c r="F50" s="88"/>
      <c r="G50" s="51"/>
    </row>
    <row r="51" spans="1:7" ht="50.25" customHeight="1">
      <c r="A51" s="60" t="s">
        <v>98</v>
      </c>
      <c r="B51" s="61"/>
      <c r="C51" s="61"/>
      <c r="D51" s="88">
        <v>10619574.66</v>
      </c>
      <c r="E51" s="88"/>
      <c r="F51" s="88"/>
      <c r="G51" s="51"/>
    </row>
    <row r="52" spans="1:7" ht="27.75" customHeight="1">
      <c r="A52" s="60" t="s">
        <v>99</v>
      </c>
      <c r="B52" s="61"/>
      <c r="C52" s="61"/>
      <c r="D52" s="86">
        <f>+D47+D48+D49+D50+D51</f>
        <v>710300763.32999992</v>
      </c>
      <c r="E52" s="86"/>
      <c r="F52" s="86"/>
      <c r="G52" s="51"/>
    </row>
    <row r="53" spans="1:7" ht="46.5" customHeight="1">
      <c r="A53" s="60" t="s">
        <v>100</v>
      </c>
      <c r="B53" s="61"/>
      <c r="C53" s="61"/>
      <c r="D53" s="87" t="s">
        <v>101</v>
      </c>
      <c r="E53" s="87"/>
      <c r="F53" s="87"/>
      <c r="G53" s="51"/>
    </row>
    <row r="54" spans="1:7" ht="16.5" customHeight="1">
      <c r="A54" s="93" t="s">
        <v>102</v>
      </c>
      <c r="B54" s="94"/>
      <c r="C54" s="94"/>
      <c r="D54" s="95"/>
      <c r="E54" s="95"/>
      <c r="F54" s="95"/>
    </row>
    <row r="55" spans="1:7" ht="242.25" customHeight="1">
      <c r="A55" s="84" t="s">
        <v>103</v>
      </c>
      <c r="B55" s="84"/>
      <c r="C55" s="84"/>
      <c r="D55" s="84"/>
      <c r="E55" s="84"/>
      <c r="F55" s="84"/>
    </row>
    <row r="56" spans="1:7" ht="15">
      <c r="A56" s="93" t="s">
        <v>104</v>
      </c>
      <c r="B56" s="93"/>
      <c r="C56" s="93"/>
      <c r="D56" s="93"/>
      <c r="E56" s="93"/>
      <c r="F56" s="93"/>
    </row>
    <row r="57" spans="1:7" ht="15">
      <c r="A57" s="93" t="s">
        <v>105</v>
      </c>
      <c r="B57" s="94"/>
      <c r="C57" s="94"/>
      <c r="D57" s="94"/>
      <c r="E57" s="94"/>
      <c r="F57" s="94"/>
    </row>
    <row r="58" spans="1:7" ht="20.25" customHeight="1">
      <c r="A58" s="90" t="s">
        <v>106</v>
      </c>
      <c r="B58" s="90"/>
      <c r="C58" s="90"/>
      <c r="D58" s="90"/>
      <c r="E58" s="90"/>
      <c r="F58" s="90"/>
    </row>
    <row r="59" spans="1:7" ht="18.75" customHeight="1">
      <c r="A59" s="90" t="s">
        <v>107</v>
      </c>
      <c r="B59" s="90"/>
      <c r="C59" s="90"/>
      <c r="D59" s="90"/>
      <c r="E59" s="90"/>
      <c r="F59" s="90"/>
    </row>
    <row r="60" spans="1:7" ht="37.5" customHeight="1">
      <c r="A60" s="89" t="s">
        <v>108</v>
      </c>
      <c r="B60" s="90"/>
      <c r="C60" s="90"/>
      <c r="D60" s="90"/>
      <c r="E60" s="90"/>
      <c r="F60" s="90"/>
    </row>
    <row r="61" spans="1:7" ht="18.75" customHeight="1">
      <c r="A61" s="91" t="s">
        <v>109</v>
      </c>
      <c r="B61" s="90"/>
      <c r="C61" s="90"/>
      <c r="D61" s="90"/>
      <c r="E61" s="90"/>
      <c r="F61" s="90"/>
    </row>
    <row r="62" spans="1:7" ht="19.5" customHeight="1">
      <c r="A62" s="91" t="s">
        <v>110</v>
      </c>
      <c r="B62" s="90"/>
      <c r="C62" s="90"/>
      <c r="D62" s="90"/>
      <c r="E62" s="90"/>
      <c r="F62" s="90"/>
    </row>
    <row r="63" spans="1:7" ht="62.25" customHeight="1">
      <c r="A63" s="92" t="s">
        <v>108</v>
      </c>
      <c r="B63" s="89"/>
      <c r="C63" s="89"/>
      <c r="D63" s="89"/>
      <c r="E63" s="89"/>
      <c r="F63" s="89"/>
    </row>
    <row r="64" spans="1:7">
      <c r="A64" s="23"/>
      <c r="B64" s="23"/>
      <c r="C64" s="23"/>
      <c r="D64" s="23"/>
      <c r="E64" s="23"/>
      <c r="F64" s="23"/>
    </row>
  </sheetData>
  <mergeCells count="81">
    <mergeCell ref="A8:C8"/>
    <mergeCell ref="A9:C9"/>
    <mergeCell ref="A10:C10"/>
    <mergeCell ref="D5:F5"/>
    <mergeCell ref="D7:F7"/>
    <mergeCell ref="D8:F8"/>
    <mergeCell ref="D9:F9"/>
    <mergeCell ref="D10:F10"/>
    <mergeCell ref="D6:F6"/>
    <mergeCell ref="A2:E2"/>
    <mergeCell ref="A4:F4"/>
    <mergeCell ref="A5:C5"/>
    <mergeCell ref="A6:C6"/>
    <mergeCell ref="A7:C7"/>
    <mergeCell ref="C14:F14"/>
    <mergeCell ref="A17:F17"/>
    <mergeCell ref="A11:F11"/>
    <mergeCell ref="A12:F12"/>
    <mergeCell ref="A15:F15"/>
    <mergeCell ref="A16:B16"/>
    <mergeCell ref="E16:F16"/>
    <mergeCell ref="A13:F13"/>
    <mergeCell ref="D34:E34"/>
    <mergeCell ref="D22:D23"/>
    <mergeCell ref="E22:F22"/>
    <mergeCell ref="A24:A26"/>
    <mergeCell ref="A41:F41"/>
    <mergeCell ref="A29:F29"/>
    <mergeCell ref="D30:E30"/>
    <mergeCell ref="D31:E31"/>
    <mergeCell ref="D32:E32"/>
    <mergeCell ref="D33:E33"/>
    <mergeCell ref="A18:F18"/>
    <mergeCell ref="A19:F19"/>
    <mergeCell ref="A20:F20"/>
    <mergeCell ref="A21:F21"/>
    <mergeCell ref="A22:A23"/>
    <mergeCell ref="B22:B23"/>
    <mergeCell ref="C22:C23"/>
    <mergeCell ref="A60:F60"/>
    <mergeCell ref="A61:F61"/>
    <mergeCell ref="A62:F62"/>
    <mergeCell ref="A63:F63"/>
    <mergeCell ref="A54:F54"/>
    <mergeCell ref="A55:F55"/>
    <mergeCell ref="A56:F56"/>
    <mergeCell ref="A57:F57"/>
    <mergeCell ref="A58:F58"/>
    <mergeCell ref="A59:F59"/>
    <mergeCell ref="D52:F52"/>
    <mergeCell ref="D53:F53"/>
    <mergeCell ref="A46:C46"/>
    <mergeCell ref="A52:C52"/>
    <mergeCell ref="D46:F46"/>
    <mergeCell ref="A53:C53"/>
    <mergeCell ref="D47:F47"/>
    <mergeCell ref="D48:F48"/>
    <mergeCell ref="D49:F49"/>
    <mergeCell ref="D50:F50"/>
    <mergeCell ref="A47:C47"/>
    <mergeCell ref="A48:C48"/>
    <mergeCell ref="A49:C49"/>
    <mergeCell ref="A50:C50"/>
    <mergeCell ref="A51:C51"/>
    <mergeCell ref="D51:F51"/>
    <mergeCell ref="A44:F44"/>
    <mergeCell ref="A45:C45"/>
    <mergeCell ref="D45:F45"/>
    <mergeCell ref="A35:F35"/>
    <mergeCell ref="A36:B36"/>
    <mergeCell ref="D36:E36"/>
    <mergeCell ref="A37:B37"/>
    <mergeCell ref="D37:E37"/>
    <mergeCell ref="A38:F38"/>
    <mergeCell ref="A39:B39"/>
    <mergeCell ref="D39:E39"/>
    <mergeCell ref="A40:B40"/>
    <mergeCell ref="D40:E40"/>
    <mergeCell ref="A43:F43"/>
    <mergeCell ref="A42:B42"/>
    <mergeCell ref="D42:E42"/>
  </mergeCells>
  <printOptions horizontalCentered="1"/>
  <pageMargins left="0.31496062992125984" right="0.31496062992125984" top="1.2630314960629923" bottom="0.74803149606299213" header="0.31496062992125984" footer="0.31496062992125984"/>
  <pageSetup paperSize="173" scale="5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5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EB34F68-8552-4C0D-A65C-D1D90534C5AA}"/>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Gloria Mercedes Velandia</cp:lastModifiedBy>
  <cp:revision/>
  <dcterms:created xsi:type="dcterms:W3CDTF">2015-06-05T18:19:34Z</dcterms:created>
  <dcterms:modified xsi:type="dcterms:W3CDTF">2026-01-27T20:53:43Z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