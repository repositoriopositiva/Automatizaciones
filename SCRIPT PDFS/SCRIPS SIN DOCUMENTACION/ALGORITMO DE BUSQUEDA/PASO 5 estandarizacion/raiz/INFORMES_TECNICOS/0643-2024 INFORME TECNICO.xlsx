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LBOP/INFORME 12 DICIEMBRE-2025 0643-2024/"/>
    </mc:Choice>
  </mc:AlternateContent>
  <xr:revisionPtr revIDLastSave="81" documentId="13_ncr:1_{A3D49697-A529-4201-9BC5-0D04C6EAFC97}" xr6:coauthVersionLast="47" xr6:coauthVersionMax="47" xr10:uidLastSave="{780F0278-2FDD-43BD-ABAB-6CCD55A60650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Informe'!$A$1:$F$69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4" l="1"/>
  <c r="D5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<sst xmlns="http://schemas.openxmlformats.org/spreadsheetml/2006/main" count="197" uniqueCount="154">
  <si>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</si>
  <si>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</si>
  <si>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</si>
  <si>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</si>
  <si>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</si>
  <si>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</si>
  <si>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</si>
  <si>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</si>
  <si>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</si>
  <si>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</si>
  <si>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</si>
  <si>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</si>
  <si>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</si>
  <si>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</si>
  <si>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</si>
  <si>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</si>
  <si>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</si>
  <si>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</si>
  <si>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</si>
  <si>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</si>
  <si>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</si>
  <si>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0643-2024</t>
  </si>
  <si>
    <t>PRESTACIÓN DE SERVICIOS</t>
  </si>
  <si>
    <t>No. de NIT</t>
  </si>
  <si>
    <t>Nombre y/o razón social del proveedor</t>
  </si>
  <si>
    <t>AUDIFONOS ALCIRA RAMIREZ SAS</t>
  </si>
  <si>
    <t>Fecha de inicio</t>
  </si>
  <si>
    <t>Fecha de terminación</t>
  </si>
  <si>
    <t>2. OBJETO</t>
  </si>
  <si>
    <r>
      <rPr>
        <sz val="11"/>
        <color theme="1"/>
        <rFont val="Arial"/>
        <family val="2"/>
      </rPr>
      <t>El CONTRATISTA se obliga con POSITIVA a la prestación de los servicios de salud, suministro y distribución de productos especializados en audiología y ayudas técnicas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</t>
    </r>
    <r>
      <rPr>
        <sz val="11"/>
        <color rgb="FFFF0000"/>
        <rFont val="Arial"/>
        <family val="2"/>
      </rPr>
      <t xml:space="preserve">
</t>
    </r>
    <r>
      <rPr>
        <sz val="11"/>
        <color theme="1"/>
        <rFont val="Arial"/>
        <family val="2"/>
      </rPr>
      <t>1. Servicios que se encuentren habilitados durante la vigencia del contrato.</t>
    </r>
  </si>
  <si>
    <t>3. MODIFICACIONES AL CONTRATO</t>
  </si>
  <si>
    <r>
      <t xml:space="preserve">Otrosí No. </t>
    </r>
    <r>
      <rPr>
        <sz val="11"/>
        <rFont val="Arial"/>
        <family val="2"/>
      </rPr>
      <t>1</t>
    </r>
  </si>
  <si>
    <r>
      <t xml:space="preserve">Fecha de modificación: 
</t>
    </r>
    <r>
      <rPr>
        <sz val="11"/>
        <rFont val="Arial"/>
        <family val="2"/>
      </rPr>
      <t>31-07-2025</t>
    </r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</si>
  <si>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</si>
  <si>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</si>
  <si>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</si>
  <si>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</si>
  <si>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</si>
  <si>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</si>
  <si>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 xml:space="preserve">Este contrato no tiene ANS. La evaluación de indicadores de gestión de este prestador se realiza con una periodicidad mensual, la medición de indicadores de calidad y gestión de este prestador se realizan con una periodicidad mensual y se incluyen en este informe.			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</si>
  <si>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</si>
  <si>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</si>
  <si>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</si>
  <si>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</si>
  <si>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</si>
  <si>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</si>
  <si>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</si>
  <si>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</si>
  <si>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</si>
  <si>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</si>
  <si>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SEGUROS DEL ESTADO S.A.</t>
  </si>
  <si>
    <t>21-45-101452070</t>
  </si>
  <si>
    <t>Calidad del servicio</t>
  </si>
  <si>
    <t>Salarios y prestaciones sociales</t>
  </si>
  <si>
    <t>Garantía de calidad y correcto funcionamiento de los bienes suministrados</t>
  </si>
  <si>
    <t>Responsabilidad Civil Extracontractual derivada de Cumplimiento</t>
  </si>
  <si>
    <t>Responsabilidad civil extracontractual derivada del cumplimiento</t>
  </si>
  <si>
    <t>No aplica</t>
  </si>
  <si>
    <t>Póliza de Responsabilidad Civil Médica o de responsabilidad civil profesional clínicas y hospitales</t>
  </si>
  <si>
    <t>Responsabilidad civil médica o profesional clinicas y hospitales</t>
  </si>
  <si>
    <t>21-03-101029823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</si>
  <si>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</si>
  <si>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</si>
  <si>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</si>
  <si>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</si>
  <si>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</si>
  <si>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</si>
  <si>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Criterio CAS&amp;SOMA Seguridad y salud en el trabajo</t>
  </si>
  <si>
    <t>Periodicidad</t>
  </si>
  <si>
    <t>Criterio CAS&amp;SOMA Calidad</t>
  </si>
  <si>
    <t>Criterio CAS&amp;SOMA Ambiente</t>
  </si>
  <si>
    <t>Criterio CAS&amp;SOMA CRITERIOS SYST SEGURIDAD VIAL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</si>
  <si>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</si>
  <si>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</si>
  <si>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</si>
  <si>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</si>
  <si>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</si>
  <si>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</si>
  <si>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</si>
  <si>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</si>
  <si>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</si>
  <si>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</si>
  <si>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proveedores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</si>
  <si>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</si>
  <si>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</si>
  <si>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</si>
  <si>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</si>
  <si>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</si>
  <si>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</si>
  <si>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</si>
  <si>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</si>
  <si>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</si>
  <si>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</si>
  <si>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</si>
  <si>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</si>
  <si>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</si>
  <si>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Procedimientos de trabajo seguro. Si aplica</t>
  </si>
  <si>
    <t>Semestral</t>
  </si>
  <si>
    <t>Certificación o  procedimiento de disposición final de los envases y recipientes que contenían los productos utilizados en la fumigación o mantenimiento</t>
  </si>
  <si>
    <t>Certificado de aptitud médica, con exámenes específicos para conductores: visiometria, audiometria, examenes de coordinación motriz, examen de psicología</t>
  </si>
  <si>
    <t>CRITERIO</t>
  </si>
  <si>
    <t>CUMPLE</t>
  </si>
  <si>
    <t>Certificado del curso en alturas requerido por ley y Concepto de Aptitud para trabajo en alturas.
Supervisor con competencias para el desarrollo de actividades de alto riesgo (alturas y eléctricos), por evento. Si aplica.</t>
  </si>
  <si>
    <t>Anual</t>
  </si>
  <si>
    <t>Certificado de disposición final o de aprovechamiento de los escombros generados durante el servicio, en sitios autorizados por el ente  ambiental.</t>
  </si>
  <si>
    <t>Certificado de competencias de los conductores (prueba teórico-práctica de conducción acorde a tipo de transporte)</t>
  </si>
  <si>
    <t>Cumple con los requerimientos de seguridad de la información establecidos en el contrato</t>
  </si>
  <si>
    <t>Certificación firmada por representante legal del proveedor</t>
  </si>
  <si>
    <t>Cumple</t>
  </si>
  <si>
    <t>Licencia de Salud Ocupacional (vigente) / prestacion de servicios medicos en Salud Ocupacional /SST. . Aplica tambien para los prestadores de servicios Exámenes Médico Ocupacionales de ingreso y de retiro</t>
  </si>
  <si>
    <t>Certificación vigente de la revisión técnico mecánica (RTM) reglamentarias según tipo de vehículo en centros de diagnostico automotriz habilitados</t>
  </si>
  <si>
    <t>10. CONTINUIDAD DEL NEGOCIO</t>
  </si>
  <si>
    <t>NA</t>
  </si>
  <si>
    <t>No Recibido</t>
  </si>
  <si>
    <t>Certificación vigente de la revisión técnico mecánica (RTM) preventivas con frecuencia bimestral  en centros de diagnostico automotriz habilitados</t>
  </si>
  <si>
    <t>Presentar el plan de emergencia vigente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</si>
  <si>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</si>
  <si>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</si>
  <si>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PROVEEDOR EN EL PERÍODO EVALUADO</t>
  </si>
  <si>
    <t>Desarrollar, ejecutar y evidenciar un plan de pruebas anual que respalde la efectividad de los planes de continuidad documentados</t>
  </si>
  <si>
    <t>AUTORIZACIONES</t>
  </si>
  <si>
    <t>Atender las solicitudes relacionadas con contingencia y continuidad a petición de los supervisores del CONTRATO en términos de evidencias</t>
  </si>
  <si>
    <t>12. RESUMEN EJECUCIÓN PRESUPUESTAL</t>
  </si>
  <si>
    <t>Valor Total del Contrato</t>
  </si>
  <si>
    <t>Cuantía indeterminada</t>
  </si>
  <si>
    <t>Valor Cancelado Atenciones Médicas</t>
  </si>
  <si>
    <t>Fuente de Financiación</t>
  </si>
  <si>
    <t>Reserva SOA</t>
  </si>
  <si>
    <t>Valor cancelado con cargo a los ramos ARL- GP (Pagado hasta el informe anterior)</t>
  </si>
  <si>
    <t>Valor cancelado en el periodo del informe con cargo a ARL</t>
  </si>
  <si>
    <t>Valor cancelado en el periodo del informe con cargo a GP (Seguros de Vida) </t>
  </si>
  <si>
    <t>Valor acumulado cancelado a la fecha con cargo a los ramos ARL- GP (Incluye lo cancelado en el periodo del informe)</t>
  </si>
  <si>
    <t>Valor cancelado asistencia auditiva</t>
  </si>
  <si>
    <t> Gastos Administrativos Pólizas </t>
  </si>
  <si>
    <t>Valor Cancelado a la fecha con cargo a  Gastos Administrativos Pólizas (pagado hasta inf anterior)</t>
  </si>
  <si>
    <t> Valor total a cancelar con el presente informe</t>
  </si>
  <si>
    <t> Valor total a cancelar con el presente informe en letras</t>
  </si>
  <si>
    <t> Cuatro millones seiscientos veintinueve mil trecientos treinta y un pesos moneda corriente.- </t>
  </si>
  <si>
    <t>Valor total cancelado atenciones médicas + asistencia auditiva</t>
  </si>
  <si>
    <t>Valor cancelado a la fecha atenciones medicas + asistencia auditiva hasta informe anterior</t>
  </si>
  <si>
    <t>13. ANEXOS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</si>
  <si>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</si>
  <si>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</si>
  <si>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</si>
  <si>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</si>
  <si>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</si>
  <si>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t>Nombre: Andrés Mauricio Morales Bonilla</t>
  </si>
  <si>
    <r>
      <t>Cargo:</t>
    </r>
    <r>
      <rPr>
        <sz val="11"/>
        <rFont val="Arial"/>
        <family val="2"/>
      </rPr>
      <t xml:space="preserve"> Analista de Contratos</t>
    </r>
  </si>
  <si>
    <t>12-2025</t>
  </si>
  <si>
    <t>01-12-2025 hasta 31-12-2025</t>
  </si>
  <si>
    <r>
      <t xml:space="preserve">
Objeto de la modificación: M</t>
    </r>
    <r>
      <rPr>
        <sz val="11"/>
        <color rgb="FF000000"/>
        <rFont val="Arial"/>
        <family val="2"/>
      </rPr>
      <t>odificar el parágrafo tercero de la cláusula decima cuarta – Garantías.Para efectos de constitución de garantías este contrato tendrá un valor de OCHENTA Y CINCO MILLONES NOVECIENTOS VEINTIDOS MIL SEISCIENTOS CUARENTA Y UN PESOS M/CTE ($ 85.922.641),El valor definido para la constitución de garantías no genera ningún tipo de obligación contractual para POSITIVA de cumplir un mínimo del valor establecido a ejecutar por parte del EL CONTRATISTA, ni genera ningún tipo de expectativa económica para este mismo este mismo.</t>
    </r>
  </si>
  <si>
    <t>Expediente contractual</t>
  </si>
  <si>
    <t>1. Evaluación de obligaciones generales y específicas. 
2. Resultado medición de indicadores de gestión y de calidad.
3. Soporte de medición, (Encuestas)
4. Factura: 28133
5. Relación de pagos ARL- GP.
6. Soporte de pago PILA de seguridad social y parafiscales y certificación suscrita por representante legal.
7. Autorizaciones generadas durante el periodo evaluado.
8. Habilitación del proveedor de acuerdo con el tipo de servicio. (REPS E INVIMA Y CCAA)
9. Acta seguimiento al consumo de garantías de cumplimiento y RC extracontractual.
10. Comunicaciones con el proveedor.
11. Otros: Informe de Resultados, Indicadores de calidad por parte del prestador.</t>
  </si>
  <si>
    <t>1.El Prestador realizó el envío certificación suscrita por representante legal y de la planilla de pagos de seguridad social y aportes parafiscales correspondientes al mes de diciembre de 2025.
2. El Prestador cuenta con servicios contratados habilitados en REPS y registros INVIMA y CCAA vigentes para el periodo.                                                                                                                                                                                              3. El Prestador posee la póliza de Cumplimiento ante Entidades Públicas con Régimen Privado de Contrato, de Garantía de calidad y correcto funcionamiento de los bienes suministrados y de Responsabilidad Civil Médica o de responsabilidad civil profesional clínicas y hospitales vigente para el periodo evaluado.
4. El Prestador envia carta (INFORME DE RESULTADOS) manifestando que no se generaron registros RIPS correspondientes a servicios prestados en dicho periodo, derivado de contrato PGP.
5. Durante el periodo evaluado, el proveedor 0643-2024-AUDIFONOS ALCIRA RAMIREZ SAS presentó los siguientes resultados en relación con 
los indicadores de:
▪ No Cumplimiento en el indicador 1: Oportunidad en la entrega de ortesis, prótesis y línea blanca.
▪ Cumple en el indicador 2: Calidad de la prótesis, Ortesis y/o Insumo Entregada al Usuario.
▪ Cumple en el indicador 3: Comodidad de La prótesis, Ortesis y/o Insumo Entregada al Usuario.
▪ No Cumplimiento en el indicador 4: satisfacción Del usuario En la prestación Del servicio.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</si>
</sst>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\-mmm\-yyyy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color rgb="FF040404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80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3" fillId="0" borderId="1" xfId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5" fillId="0" borderId="2" xfId="1" applyFont="1" applyBorder="1" applyAlignment="1">
      <alignment vertical="center" wrapText="1"/>
    </xf>
    <xf numFmtId="0" fontId="15" fillId="0" borderId="1" xfId="1" applyFont="1" applyBorder="1" applyAlignment="1">
      <alignment vertical="center" wrapText="1"/>
    </xf>
    <xf numFmtId="0" fontId="15" fillId="0" borderId="5" xfId="1" applyFont="1" applyBorder="1" applyAlignment="1">
      <alignment vertical="center" wrapText="1"/>
    </xf>
    <xf numFmtId="0" fontId="16" fillId="0" borderId="1" xfId="1" applyFont="1" applyBorder="1" applyAlignment="1">
      <alignment vertical="center"/>
    </xf>
    <xf numFmtId="0" fontId="17" fillId="0" borderId="1" xfId="1" applyFont="1" applyBorder="1" applyAlignment="1">
      <alignment vertical="center" wrapText="1"/>
    </xf>
    <xf numFmtId="0" fontId="1" fillId="0" borderId="1" xfId="1" applyBorder="1" applyAlignment="1">
      <alignment vertical="center" wrapText="1"/>
    </xf>
    <xf numFmtId="0" fontId="19" fillId="0" borderId="2" xfId="1" applyFont="1" applyBorder="1" applyAlignment="1">
      <alignment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49" fontId="19" fillId="6" borderId="6" xfId="0" applyNumberFormat="1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vertical="center" wrapText="1"/>
    </xf>
    <xf numFmtId="0" fontId="19" fillId="3" borderId="6" xfId="0" applyFont="1" applyFill="1" applyBorder="1" applyAlignment="1">
      <alignment horizontal="center" vertical="center" wrapText="1"/>
    </xf>
    <xf numFmtId="14" fontId="19" fillId="0" borderId="6" xfId="0" applyNumberFormat="1" applyFont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3" xfId="0" applyFont="1" applyBorder="1" applyAlignment="1">
      <alignment vertical="center" wrapText="1"/>
    </xf>
    <xf numFmtId="0" fontId="13" fillId="6" borderId="3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vertical="center" wrapText="1"/>
    </xf>
    <xf numFmtId="44" fontId="13" fillId="0" borderId="3" xfId="0" applyNumberFormat="1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3" fontId="13" fillId="0" borderId="3" xfId="0" applyNumberFormat="1" applyFont="1" applyBorder="1" applyAlignment="1">
      <alignment vertical="center" wrapText="1"/>
    </xf>
    <xf numFmtId="44" fontId="13" fillId="0" borderId="5" xfId="0" applyNumberFormat="1" applyFont="1" applyBorder="1" applyAlignment="1">
      <alignment vertical="center" wrapText="1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6" borderId="6" xfId="0" applyFont="1" applyFill="1" applyBorder="1" applyAlignment="1">
      <alignment horizontal="left" vertical="center" wrapText="1"/>
    </xf>
    <xf numFmtId="0" fontId="19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left" vertical="center" wrapText="1"/>
    </xf>
    <xf numFmtId="0" fontId="19" fillId="6" borderId="6" xfId="0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justify" vertical="center" wrapText="1"/>
    </xf>
    <xf numFmtId="0" fontId="20" fillId="0" borderId="6" xfId="0" applyFont="1" applyBorder="1" applyAlignment="1">
      <alignment horizontal="justify" vertical="center" wrapText="1"/>
    </xf>
    <xf numFmtId="0" fontId="18" fillId="0" borderId="1" xfId="1" applyFont="1" applyBorder="1" applyAlignment="1">
      <alignment horizontal="left" vertical="center" wrapText="1"/>
    </xf>
    <xf numFmtId="0" fontId="20" fillId="2" borderId="6" xfId="1" applyFont="1" applyFill="1" applyBorder="1" applyAlignment="1">
      <alignment horizontal="center" vertical="center" wrapText="1"/>
    </xf>
    <xf numFmtId="14" fontId="19" fillId="0" borderId="6" xfId="0" applyNumberFormat="1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6" borderId="6" xfId="0" applyFont="1" applyFill="1" applyBorder="1" applyAlignment="1">
      <alignment horizontal="left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0" xfId="0" applyFont="1" applyFill="1" applyBorder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44" fontId="19" fillId="0" borderId="6" xfId="2" applyFont="1" applyBorder="1" applyAlignment="1">
      <alignment horizontal="left" vertical="center" wrapText="1"/>
    </xf>
    <xf numFmtId="0" fontId="20" fillId="6" borderId="9" xfId="0" applyFont="1" applyFill="1" applyBorder="1" applyAlignment="1">
      <alignment horizontal="left" vertical="center" wrapText="1"/>
    </xf>
    <xf numFmtId="0" fontId="20" fillId="6" borderId="10" xfId="0" applyFont="1" applyFill="1" applyBorder="1" applyAlignment="1">
      <alignment horizontal="left" vertical="center" wrapText="1"/>
    </xf>
    <xf numFmtId="0" fontId="20" fillId="6" borderId="11" xfId="0" applyFont="1" applyFill="1" applyBorder="1" applyAlignment="1">
      <alignment horizontal="left" vertical="center" wrapText="1"/>
    </xf>
    <xf numFmtId="44" fontId="19" fillId="0" borderId="9" xfId="2" applyFont="1" applyBorder="1" applyAlignment="1">
      <alignment horizontal="left" vertical="center" wrapText="1"/>
    </xf>
    <xf numFmtId="44" fontId="19" fillId="0" borderId="10" xfId="2" applyFont="1" applyBorder="1" applyAlignment="1">
      <alignment horizontal="left" vertical="center" wrapText="1"/>
    </xf>
    <xf numFmtId="44" fontId="19" fillId="0" borderId="11" xfId="2" applyFont="1" applyBorder="1" applyAlignment="1">
      <alignment horizontal="left"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5" Type="http://schemas.openxmlformats.org/officeDocument/2006/relationships/image" Target="../media/image5.jp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625475</xdr:colOff>
      <xdr:row>0</xdr:row>
      <xdr:rowOff>95252</xdr:rowOff>
    </xdr:from>
    <xdr:to>
      <xdr:col>5</xdr:col>
      <xdr:colOff>1045375</xdr:colOff>
      <xdr:row>2</xdr:row>
      <xdr:rowOff>117220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400" y="9525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0</xdr:colOff>
      <xdr:row>65</xdr:row>
      <xdr:rowOff>0</xdr:rowOff>
    </xdr:from>
    <xdr:ext cx="4043" cy="379167"/>
    <xdr:pic>
      <xdr:nvPicPr>
        <xdr:cNvPr id="5" name="Imagen 4">
          <a:extLst>
            <a:ext uri="{FF2B5EF4-FFF2-40B4-BE49-F238E27FC236}">
              <a16:creationId xmlns:a16="http://schemas.microsoft.com/office/drawing/2014/main" id="{3131B3DA-547D-47FE-BEC3-591E68107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707475"/>
          <a:ext cx="4043" cy="379167"/>
        </a:xfrm>
        <a:prstGeom prst="rect">
          <a:avLst/>
        </a:prstGeom>
      </xdr:spPr>
    </xdr:pic>
    <xdr:clientData/>
  </xdr:oneCellAnchor>
  <xdr:oneCellAnchor>
    <xdr:from>
      <xdr:col>0</xdr:col>
      <xdr:colOff>600075</xdr:colOff>
      <xdr:row>65</xdr:row>
      <xdr:rowOff>36740</xdr:rowOff>
    </xdr:from>
    <xdr:ext cx="1202004" cy="349603"/>
    <xdr:pic>
      <xdr:nvPicPr>
        <xdr:cNvPr id="8" name="Imagen 7">
          <a:extLst>
            <a:ext uri="{FF2B5EF4-FFF2-40B4-BE49-F238E27FC236}">
              <a16:creationId xmlns:a16="http://schemas.microsoft.com/office/drawing/2014/main" id="{22B95574-1C5C-4AFB-9B4D-23B0C829C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alphaModFix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21744215"/>
          <a:ext cx="1202004" cy="349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923365</xdr:colOff>
      <xdr:row>68</xdr:row>
      <xdr:rowOff>89647</xdr:rowOff>
    </xdr:from>
    <xdr:to>
      <xdr:col>1</xdr:col>
      <xdr:colOff>1038113</xdr:colOff>
      <xdr:row>68</xdr:row>
      <xdr:rowOff>478267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F88842B-2F1C-72BB-542E-73325225F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365" y="22214541"/>
          <a:ext cx="1737360" cy="38862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50" t="s">
        <v>1</v>
      </c>
      <c r="B2" s="50"/>
      <c r="C2" s="50"/>
      <c r="D2" s="50"/>
      <c r="E2" s="50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51" t="s">
        <v>2</v>
      </c>
      <c r="B5" s="51"/>
      <c r="C5" s="52" t="s">
        <v>3</v>
      </c>
      <c r="D5" s="52"/>
      <c r="E5" s="7"/>
      <c r="F5" s="8" t="s">
        <v>4</v>
      </c>
      <c r="G5" s="53" t="s">
        <v>5</v>
      </c>
      <c r="H5" s="53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54" t="s">
        <v>8</v>
      </c>
      <c r="D7" s="54"/>
      <c r="E7" s="54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9" t="s">
        <v>13</v>
      </c>
      <c r="D8" s="49"/>
      <c r="E8" s="49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73"/>
  <sheetViews>
    <sheetView tabSelected="1" view="pageBreakPreview" zoomScaleNormal="100" zoomScaleSheetLayoutView="100" workbookViewId="0">
      <selection activeCell="A12" sqref="A12:F12"/>
    </sheetView>
  </sheetViews>
  <sheetFormatPr baseColWidth="10" defaultColWidth="9.109375" defaultRowHeight="13.8" x14ac:dyDescent="0.3"/>
  <cols>
    <col min="1" max="1" width="23.6640625" style="21" customWidth="1"/>
    <col min="2" max="2" width="25.6640625" style="21" customWidth="1"/>
    <col min="3" max="4" width="30.6640625" style="21" customWidth="1"/>
    <col min="5" max="5" width="19.6640625" style="21" customWidth="1"/>
    <col min="6" max="6" width="30.6640625" style="21" customWidth="1"/>
    <col min="7" max="7" width="20.109375" style="21" customWidth="1"/>
    <col min="8" max="8" width="15.88671875" style="21" customWidth="1"/>
    <col min="9" max="16384" width="9.109375" style="21"/>
  </cols>
  <sheetData>
    <row r="1" spans="1:9" ht="24" customHeight="1" x14ac:dyDescent="0.3">
      <c r="A1" s="29" t="s">
        <v>0</v>
      </c>
      <c r="B1" s="30"/>
      <c r="C1" s="30"/>
      <c r="D1" s="30"/>
      <c r="E1" s="30"/>
      <c r="F1" s="31"/>
      <c r="G1" s="20"/>
      <c r="H1" s="20"/>
      <c r="I1" s="20"/>
    </row>
    <row r="2" spans="1:9" ht="15" customHeight="1" x14ac:dyDescent="0.3">
      <c r="A2" s="65" t="s">
        <v>17</v>
      </c>
      <c r="B2" s="65"/>
      <c r="C2" s="65"/>
      <c r="D2" s="65"/>
      <c r="E2" s="65"/>
      <c r="F2" s="31"/>
      <c r="G2" s="20"/>
      <c r="H2" s="20"/>
      <c r="I2" s="20"/>
    </row>
    <row r="3" spans="1:9" ht="24" customHeight="1" x14ac:dyDescent="0.3">
      <c r="A3" s="32"/>
      <c r="B3" s="32"/>
      <c r="C3" s="32"/>
      <c r="D3" s="32"/>
      <c r="E3" s="32"/>
      <c r="F3" s="32"/>
      <c r="G3" s="27"/>
      <c r="H3" s="27"/>
      <c r="I3" s="27"/>
    </row>
    <row r="4" spans="1:9" ht="15" customHeight="1" x14ac:dyDescent="0.3">
      <c r="A4" s="66" t="s">
        <v>18</v>
      </c>
      <c r="B4" s="66"/>
      <c r="C4" s="66"/>
      <c r="D4" s="66"/>
      <c r="E4" s="66"/>
      <c r="F4" s="66"/>
      <c r="G4" s="28"/>
      <c r="H4" s="26"/>
      <c r="I4" s="27"/>
    </row>
    <row r="5" spans="1:9" ht="15" customHeight="1" x14ac:dyDescent="0.3">
      <c r="A5" s="56" t="s">
        <v>19</v>
      </c>
      <c r="B5" s="56"/>
      <c r="C5" s="56"/>
      <c r="D5" s="56" t="s">
        <v>20</v>
      </c>
      <c r="E5" s="56"/>
      <c r="F5" s="56"/>
      <c r="G5" s="22"/>
    </row>
    <row r="6" spans="1:9" ht="22.5" customHeight="1" x14ac:dyDescent="0.3">
      <c r="A6" s="60" t="s">
        <v>21</v>
      </c>
      <c r="B6" s="60"/>
      <c r="C6" s="60"/>
      <c r="D6" s="60" t="s">
        <v>22</v>
      </c>
      <c r="E6" s="60"/>
      <c r="F6" s="60"/>
      <c r="G6" s="22"/>
    </row>
    <row r="7" spans="1:9" ht="15" customHeight="1" x14ac:dyDescent="0.3">
      <c r="A7" s="56" t="s">
        <v>23</v>
      </c>
      <c r="B7" s="56"/>
      <c r="C7" s="56"/>
      <c r="D7" s="56" t="s">
        <v>24</v>
      </c>
      <c r="E7" s="56"/>
      <c r="F7" s="56"/>
      <c r="G7" s="22"/>
    </row>
    <row r="8" spans="1:9" ht="22.5" customHeight="1" x14ac:dyDescent="0.3">
      <c r="A8" s="60">
        <v>900232301</v>
      </c>
      <c r="B8" s="60"/>
      <c r="C8" s="60"/>
      <c r="D8" s="60" t="s">
        <v>25</v>
      </c>
      <c r="E8" s="60"/>
      <c r="F8" s="60"/>
      <c r="G8" s="22"/>
    </row>
    <row r="9" spans="1:9" ht="15" customHeight="1" x14ac:dyDescent="0.3">
      <c r="A9" s="56" t="s">
        <v>26</v>
      </c>
      <c r="B9" s="56"/>
      <c r="C9" s="56"/>
      <c r="D9" s="67">
        <v>45485</v>
      </c>
      <c r="E9" s="60"/>
      <c r="F9" s="60"/>
      <c r="G9" s="22"/>
    </row>
    <row r="10" spans="1:9" ht="15" customHeight="1" x14ac:dyDescent="0.3">
      <c r="A10" s="56" t="s">
        <v>27</v>
      </c>
      <c r="B10" s="56"/>
      <c r="C10" s="56"/>
      <c r="D10" s="67">
        <v>46198</v>
      </c>
      <c r="E10" s="60"/>
      <c r="F10" s="60"/>
      <c r="G10" s="22"/>
    </row>
    <row r="11" spans="1:9" ht="15" customHeight="1" x14ac:dyDescent="0.3">
      <c r="A11" s="56" t="s">
        <v>28</v>
      </c>
      <c r="B11" s="56"/>
      <c r="C11" s="56"/>
      <c r="D11" s="56"/>
      <c r="E11" s="56"/>
      <c r="F11" s="56"/>
      <c r="G11" s="22"/>
    </row>
    <row r="12" spans="1:9" ht="147.6" customHeight="1" x14ac:dyDescent="0.3">
      <c r="A12" s="61" t="s">
        <v>29</v>
      </c>
      <c r="B12" s="61"/>
      <c r="C12" s="61"/>
      <c r="D12" s="61"/>
      <c r="E12" s="61"/>
      <c r="F12" s="61"/>
      <c r="G12" s="22"/>
    </row>
    <row r="13" spans="1:9" ht="15" customHeight="1" x14ac:dyDescent="0.3">
      <c r="A13" s="56" t="s">
        <v>30</v>
      </c>
      <c r="B13" s="56"/>
      <c r="C13" s="56"/>
      <c r="D13" s="56"/>
      <c r="E13" s="56"/>
      <c r="F13" s="56"/>
      <c r="G13" s="22"/>
    </row>
    <row r="14" spans="1:9" ht="104.4" customHeight="1" x14ac:dyDescent="0.3">
      <c r="A14" s="35" t="s">
        <v>31</v>
      </c>
      <c r="B14" s="35" t="s">
        <v>32</v>
      </c>
      <c r="C14" s="63" t="s">
        <v>150</v>
      </c>
      <c r="D14" s="64"/>
      <c r="E14" s="64"/>
      <c r="F14" s="64"/>
      <c r="G14" s="22"/>
    </row>
    <row r="15" spans="1:9" ht="15" customHeight="1" x14ac:dyDescent="0.3">
      <c r="A15" s="56" t="s">
        <v>33</v>
      </c>
      <c r="B15" s="56"/>
      <c r="C15" s="56"/>
      <c r="D15" s="56"/>
      <c r="E15" s="56"/>
      <c r="F15" s="56"/>
      <c r="G15" s="22"/>
    </row>
    <row r="16" spans="1:9" ht="15" customHeight="1" x14ac:dyDescent="0.3">
      <c r="A16" s="56" t="s">
        <v>34</v>
      </c>
      <c r="B16" s="56"/>
      <c r="C16" s="36" t="s">
        <v>148</v>
      </c>
      <c r="D16" s="37" t="s">
        <v>35</v>
      </c>
      <c r="E16" s="62" t="s">
        <v>149</v>
      </c>
      <c r="F16" s="62"/>
      <c r="G16" s="22"/>
    </row>
    <row r="17" spans="1:12" ht="15" customHeight="1" x14ac:dyDescent="0.3">
      <c r="A17" s="56" t="s">
        <v>36</v>
      </c>
      <c r="B17" s="56"/>
      <c r="C17" s="56"/>
      <c r="D17" s="56"/>
      <c r="E17" s="56"/>
      <c r="F17" s="56"/>
      <c r="G17" s="22"/>
    </row>
    <row r="18" spans="1:12" ht="15" customHeight="1" x14ac:dyDescent="0.3">
      <c r="A18" s="60" t="s">
        <v>37</v>
      </c>
      <c r="B18" s="60"/>
      <c r="C18" s="60"/>
      <c r="D18" s="60"/>
      <c r="E18" s="60"/>
      <c r="F18" s="60"/>
      <c r="G18" s="22"/>
    </row>
    <row r="19" spans="1:12" ht="15" customHeight="1" x14ac:dyDescent="0.3">
      <c r="A19" s="56" t="s">
        <v>38</v>
      </c>
      <c r="B19" s="56"/>
      <c r="C19" s="56"/>
      <c r="D19" s="56"/>
      <c r="E19" s="56"/>
      <c r="F19" s="56"/>
      <c r="G19" s="22"/>
    </row>
    <row r="20" spans="1:12" ht="45.75" customHeight="1" x14ac:dyDescent="0.3">
      <c r="A20" s="60" t="s">
        <v>39</v>
      </c>
      <c r="B20" s="60"/>
      <c r="C20" s="60"/>
      <c r="D20" s="60"/>
      <c r="E20" s="60"/>
      <c r="F20" s="60"/>
      <c r="G20" s="22"/>
    </row>
    <row r="21" spans="1:12" ht="15" customHeight="1" x14ac:dyDescent="0.3">
      <c r="A21" s="56" t="s">
        <v>40</v>
      </c>
      <c r="B21" s="56"/>
      <c r="C21" s="56"/>
      <c r="D21" s="56"/>
      <c r="E21" s="56"/>
      <c r="F21" s="56"/>
      <c r="G21" s="22"/>
    </row>
    <row r="22" spans="1:12" ht="15" customHeight="1" x14ac:dyDescent="0.3">
      <c r="A22" s="56" t="s">
        <v>41</v>
      </c>
      <c r="B22" s="56" t="s">
        <v>42</v>
      </c>
      <c r="C22" s="56" t="s">
        <v>43</v>
      </c>
      <c r="D22" s="56" t="s">
        <v>44</v>
      </c>
      <c r="E22" s="56" t="s">
        <v>45</v>
      </c>
      <c r="F22" s="56"/>
      <c r="G22" s="22"/>
    </row>
    <row r="23" spans="1:12" ht="15" customHeight="1" x14ac:dyDescent="0.3">
      <c r="A23" s="56"/>
      <c r="B23" s="56"/>
      <c r="C23" s="56"/>
      <c r="D23" s="56"/>
      <c r="E23" s="33" t="s">
        <v>46</v>
      </c>
      <c r="F23" s="33" t="s">
        <v>47</v>
      </c>
      <c r="G23" s="22"/>
    </row>
    <row r="24" spans="1:12" ht="22.5" customHeight="1" x14ac:dyDescent="0.3">
      <c r="A24" s="57" t="s">
        <v>48</v>
      </c>
      <c r="B24" s="38" t="s">
        <v>49</v>
      </c>
      <c r="C24" s="34" t="s">
        <v>50</v>
      </c>
      <c r="D24" s="34" t="s">
        <v>51</v>
      </c>
      <c r="E24" s="39">
        <v>45485</v>
      </c>
      <c r="F24" s="39">
        <v>46382</v>
      </c>
      <c r="G24" s="22"/>
    </row>
    <row r="25" spans="1:12" ht="22.5" customHeight="1" x14ac:dyDescent="0.3">
      <c r="A25" s="57"/>
      <c r="B25" s="38" t="s">
        <v>52</v>
      </c>
      <c r="C25" s="34" t="s">
        <v>50</v>
      </c>
      <c r="D25" s="34" t="s">
        <v>51</v>
      </c>
      <c r="E25" s="39">
        <v>45485</v>
      </c>
      <c r="F25" s="39">
        <v>46382</v>
      </c>
      <c r="G25" s="22"/>
    </row>
    <row r="26" spans="1:12" ht="30" customHeight="1" x14ac:dyDescent="0.3">
      <c r="A26" s="57"/>
      <c r="B26" s="38" t="s">
        <v>53</v>
      </c>
      <c r="C26" s="34" t="s">
        <v>50</v>
      </c>
      <c r="D26" s="34" t="s">
        <v>51</v>
      </c>
      <c r="E26" s="39">
        <v>45485</v>
      </c>
      <c r="F26" s="39">
        <v>47295</v>
      </c>
      <c r="G26" s="22"/>
    </row>
    <row r="27" spans="1:12" ht="81" customHeight="1" x14ac:dyDescent="0.3">
      <c r="A27" s="40" t="s">
        <v>54</v>
      </c>
      <c r="B27" s="38" t="s">
        <v>54</v>
      </c>
      <c r="C27" s="34" t="s">
        <v>50</v>
      </c>
      <c r="D27" s="34" t="s">
        <v>51</v>
      </c>
      <c r="E27" s="39">
        <v>45485</v>
      </c>
      <c r="F27" s="39">
        <v>46382</v>
      </c>
      <c r="G27" s="22"/>
    </row>
    <row r="28" spans="1:12" ht="67.5" customHeight="1" x14ac:dyDescent="0.3">
      <c r="A28" s="40" t="s">
        <v>55</v>
      </c>
      <c r="B28" s="38" t="s">
        <v>56</v>
      </c>
      <c r="C28" s="34" t="s">
        <v>57</v>
      </c>
      <c r="D28" s="34" t="s">
        <v>57</v>
      </c>
      <c r="E28" s="34" t="s">
        <v>57</v>
      </c>
      <c r="F28" s="34" t="s">
        <v>57</v>
      </c>
      <c r="G28" s="22"/>
    </row>
    <row r="29" spans="1:12" ht="90" customHeight="1" x14ac:dyDescent="0.3">
      <c r="A29" s="40" t="s">
        <v>58</v>
      </c>
      <c r="B29" s="38" t="s">
        <v>59</v>
      </c>
      <c r="C29" s="34" t="s">
        <v>50</v>
      </c>
      <c r="D29" s="34" t="s">
        <v>60</v>
      </c>
      <c r="E29" s="39">
        <v>45852</v>
      </c>
      <c r="F29" s="39">
        <v>46217</v>
      </c>
      <c r="G29" s="22"/>
    </row>
    <row r="30" spans="1:12" ht="15" customHeight="1" x14ac:dyDescent="0.3">
      <c r="A30" s="56" t="s">
        <v>61</v>
      </c>
      <c r="B30" s="56"/>
      <c r="C30" s="56"/>
      <c r="D30" s="56"/>
      <c r="E30" s="56"/>
      <c r="F30" s="56"/>
      <c r="G30" s="22"/>
    </row>
    <row r="31" spans="1:12" ht="15" customHeight="1" x14ac:dyDescent="0.3">
      <c r="A31" s="33" t="s">
        <v>62</v>
      </c>
      <c r="B31" s="33" t="s">
        <v>63</v>
      </c>
      <c r="C31" s="33" t="s">
        <v>64</v>
      </c>
      <c r="D31" s="56" t="s">
        <v>65</v>
      </c>
      <c r="E31" s="56"/>
      <c r="F31" s="33" t="s">
        <v>66</v>
      </c>
      <c r="G31" s="22"/>
      <c r="H31" s="23" t="s">
        <v>67</v>
      </c>
      <c r="I31" s="23" t="s">
        <v>68</v>
      </c>
      <c r="J31" s="23" t="s">
        <v>69</v>
      </c>
      <c r="K31" s="23" t="s">
        <v>70</v>
      </c>
      <c r="L31" s="23" t="s">
        <v>71</v>
      </c>
    </row>
    <row r="32" spans="1:12" ht="180" customHeight="1" x14ac:dyDescent="0.3">
      <c r="A32" s="40" t="s">
        <v>72</v>
      </c>
      <c r="B32" s="34" t="s">
        <v>73</v>
      </c>
      <c r="C32" s="34" t="s">
        <v>74</v>
      </c>
      <c r="D32" s="60" t="s">
        <v>151</v>
      </c>
      <c r="E32" s="60"/>
      <c r="F32" s="34" t="s">
        <v>75</v>
      </c>
      <c r="G32" s="22"/>
      <c r="H32" s="23" t="s">
        <v>73</v>
      </c>
      <c r="I32" s="23" t="s">
        <v>76</v>
      </c>
      <c r="J32" s="23" t="s">
        <v>77</v>
      </c>
      <c r="K32" s="23" t="s">
        <v>78</v>
      </c>
      <c r="L32" s="23" t="s">
        <v>79</v>
      </c>
    </row>
    <row r="33" spans="1:12" ht="15" customHeight="1" x14ac:dyDescent="0.3">
      <c r="A33" s="40" t="s">
        <v>80</v>
      </c>
      <c r="B33" s="34" t="s">
        <v>57</v>
      </c>
      <c r="C33" s="34" t="s">
        <v>57</v>
      </c>
      <c r="D33" s="60" t="s">
        <v>57</v>
      </c>
      <c r="E33" s="60"/>
      <c r="F33" s="34" t="s">
        <v>57</v>
      </c>
      <c r="G33" s="22"/>
      <c r="H33" s="23" t="s">
        <v>81</v>
      </c>
      <c r="I33" s="24" t="s">
        <v>74</v>
      </c>
      <c r="J33" s="23" t="s">
        <v>82</v>
      </c>
      <c r="K33" s="23" t="s">
        <v>83</v>
      </c>
      <c r="L33" s="23" t="s">
        <v>84</v>
      </c>
    </row>
    <row r="34" spans="1:12" ht="15" customHeight="1" x14ac:dyDescent="0.3">
      <c r="A34" s="40" t="s">
        <v>85</v>
      </c>
      <c r="B34" s="34" t="s">
        <v>57</v>
      </c>
      <c r="C34" s="34" t="s">
        <v>57</v>
      </c>
      <c r="D34" s="60" t="s">
        <v>57</v>
      </c>
      <c r="E34" s="60"/>
      <c r="F34" s="34" t="s">
        <v>57</v>
      </c>
      <c r="G34" s="22"/>
      <c r="H34" s="23" t="s">
        <v>86</v>
      </c>
      <c r="I34" s="24" t="s">
        <v>87</v>
      </c>
      <c r="K34" s="23" t="s">
        <v>88</v>
      </c>
      <c r="L34" s="23" t="s">
        <v>89</v>
      </c>
    </row>
    <row r="35" spans="1:12" ht="30" customHeight="1" x14ac:dyDescent="0.3">
      <c r="A35" s="40" t="s">
        <v>90</v>
      </c>
      <c r="B35" s="34" t="s">
        <v>57</v>
      </c>
      <c r="C35" s="34" t="s">
        <v>57</v>
      </c>
      <c r="D35" s="60" t="s">
        <v>57</v>
      </c>
      <c r="E35" s="60"/>
      <c r="F35" s="34" t="s">
        <v>57</v>
      </c>
      <c r="G35" s="22"/>
      <c r="H35" s="23" t="s">
        <v>91</v>
      </c>
      <c r="I35" s="23" t="s">
        <v>92</v>
      </c>
      <c r="K35" s="23" t="s">
        <v>93</v>
      </c>
      <c r="L35" s="23" t="s">
        <v>94</v>
      </c>
    </row>
    <row r="36" spans="1:12" ht="15" customHeight="1" x14ac:dyDescent="0.3">
      <c r="A36" s="56" t="s">
        <v>95</v>
      </c>
      <c r="B36" s="56"/>
      <c r="C36" s="56"/>
      <c r="D36" s="56"/>
      <c r="E36" s="56"/>
      <c r="F36" s="56"/>
      <c r="G36" s="22"/>
      <c r="H36" s="23" t="s">
        <v>96</v>
      </c>
      <c r="I36" s="23" t="s">
        <v>97</v>
      </c>
      <c r="K36" s="23" t="s">
        <v>98</v>
      </c>
      <c r="L36" s="23" t="s">
        <v>99</v>
      </c>
    </row>
    <row r="37" spans="1:12" ht="15" customHeight="1" x14ac:dyDescent="0.3">
      <c r="A37" s="56" t="s">
        <v>100</v>
      </c>
      <c r="B37" s="56"/>
      <c r="C37" s="33" t="s">
        <v>64</v>
      </c>
      <c r="D37" s="56" t="s">
        <v>65</v>
      </c>
      <c r="E37" s="56"/>
      <c r="F37" s="33" t="s">
        <v>101</v>
      </c>
      <c r="G37" s="22"/>
      <c r="H37" s="23" t="s">
        <v>102</v>
      </c>
      <c r="I37" s="24" t="s">
        <v>103</v>
      </c>
      <c r="K37" s="23" t="s">
        <v>104</v>
      </c>
      <c r="L37" s="23" t="s">
        <v>105</v>
      </c>
    </row>
    <row r="38" spans="1:12" ht="37.5" customHeight="1" x14ac:dyDescent="0.3">
      <c r="A38" s="60" t="s">
        <v>106</v>
      </c>
      <c r="B38" s="60"/>
      <c r="C38" s="34" t="s">
        <v>103</v>
      </c>
      <c r="D38" s="60" t="s">
        <v>107</v>
      </c>
      <c r="E38" s="60"/>
      <c r="F38" s="34" t="s">
        <v>108</v>
      </c>
      <c r="G38" s="42"/>
      <c r="H38" s="23" t="s">
        <v>109</v>
      </c>
      <c r="I38" s="24" t="s">
        <v>108</v>
      </c>
      <c r="J38" s="24"/>
      <c r="K38" s="24"/>
      <c r="L38" s="23" t="s">
        <v>110</v>
      </c>
    </row>
    <row r="39" spans="1:12" ht="15" customHeight="1" x14ac:dyDescent="0.3">
      <c r="A39" s="56" t="s">
        <v>111</v>
      </c>
      <c r="B39" s="56"/>
      <c r="C39" s="56"/>
      <c r="D39" s="56"/>
      <c r="E39" s="56"/>
      <c r="F39" s="56"/>
      <c r="G39" s="42"/>
      <c r="H39" s="24" t="s">
        <v>112</v>
      </c>
      <c r="I39" s="23" t="s">
        <v>113</v>
      </c>
      <c r="J39" s="24"/>
      <c r="K39" s="24" t="s">
        <v>112</v>
      </c>
      <c r="L39" s="23" t="s">
        <v>114</v>
      </c>
    </row>
    <row r="40" spans="1:12" ht="15" customHeight="1" x14ac:dyDescent="0.3">
      <c r="A40" s="56" t="s">
        <v>100</v>
      </c>
      <c r="B40" s="56"/>
      <c r="C40" s="33" t="s">
        <v>64</v>
      </c>
      <c r="D40" s="56" t="s">
        <v>65</v>
      </c>
      <c r="E40" s="56"/>
      <c r="F40" s="33" t="s">
        <v>101</v>
      </c>
      <c r="G40" s="42"/>
      <c r="H40" s="24" t="s">
        <v>57</v>
      </c>
      <c r="I40" s="24" t="s">
        <v>57</v>
      </c>
      <c r="J40" s="24"/>
      <c r="K40" s="24" t="s">
        <v>112</v>
      </c>
      <c r="L40" s="23" t="s">
        <v>115</v>
      </c>
    </row>
    <row r="41" spans="1:12" ht="67.5" customHeight="1" x14ac:dyDescent="0.3">
      <c r="A41" s="60" t="s">
        <v>116</v>
      </c>
      <c r="B41" s="60"/>
      <c r="C41" s="34" t="s">
        <v>103</v>
      </c>
      <c r="D41" s="60" t="s">
        <v>117</v>
      </c>
      <c r="E41" s="60"/>
      <c r="F41" s="34" t="s">
        <v>108</v>
      </c>
      <c r="G41" s="42"/>
      <c r="H41" s="23" t="s">
        <v>117</v>
      </c>
      <c r="I41" s="24"/>
      <c r="J41" s="24"/>
      <c r="K41" s="24"/>
      <c r="L41" s="24"/>
    </row>
    <row r="42" spans="1:12" ht="15" customHeight="1" x14ac:dyDescent="0.3">
      <c r="A42" s="56" t="s">
        <v>118</v>
      </c>
      <c r="B42" s="56"/>
      <c r="C42" s="56"/>
      <c r="D42" s="56"/>
      <c r="E42" s="56"/>
      <c r="F42" s="56"/>
      <c r="G42" s="22"/>
      <c r="H42" s="23" t="s">
        <v>119</v>
      </c>
    </row>
    <row r="43" spans="1:12" ht="15" customHeight="1" x14ac:dyDescent="0.3">
      <c r="A43" s="56" t="s">
        <v>120</v>
      </c>
      <c r="B43" s="56"/>
      <c r="C43" s="56"/>
      <c r="D43" s="68">
        <v>29</v>
      </c>
      <c r="E43" s="68"/>
      <c r="F43" s="68"/>
      <c r="G43" s="22"/>
      <c r="H43" s="23" t="s">
        <v>121</v>
      </c>
    </row>
    <row r="44" spans="1:12" ht="213.6" customHeight="1" x14ac:dyDescent="0.3">
      <c r="A44" s="58" t="s">
        <v>153</v>
      </c>
      <c r="B44" s="58"/>
      <c r="C44" s="58"/>
      <c r="D44" s="58"/>
      <c r="E44" s="58"/>
      <c r="F44" s="58"/>
      <c r="G44" s="22"/>
    </row>
    <row r="45" spans="1:12" ht="15" customHeight="1" x14ac:dyDescent="0.3">
      <c r="A45" s="56" t="s">
        <v>122</v>
      </c>
      <c r="B45" s="57"/>
      <c r="C45" s="57"/>
      <c r="D45" s="57"/>
      <c r="E45" s="57"/>
      <c r="F45" s="57"/>
      <c r="G45" s="22"/>
    </row>
    <row r="46" spans="1:12" ht="15" customHeight="1" x14ac:dyDescent="0.3">
      <c r="A46" s="69" t="s">
        <v>123</v>
      </c>
      <c r="B46" s="69"/>
      <c r="C46" s="69"/>
      <c r="D46" s="60" t="s">
        <v>124</v>
      </c>
      <c r="E46" s="60"/>
      <c r="F46" s="60"/>
      <c r="G46" s="22"/>
    </row>
    <row r="47" spans="1:12" s="44" customFormat="1" ht="30" customHeight="1" x14ac:dyDescent="0.3">
      <c r="A47" s="70" t="s">
        <v>125</v>
      </c>
      <c r="B47" s="71"/>
      <c r="C47" s="71"/>
      <c r="D47" s="71"/>
      <c r="E47" s="71"/>
      <c r="F47" s="72"/>
      <c r="G47" s="43"/>
    </row>
    <row r="48" spans="1:12" ht="15" customHeight="1" x14ac:dyDescent="0.3">
      <c r="A48" s="69" t="s">
        <v>126</v>
      </c>
      <c r="B48" s="69"/>
      <c r="C48" s="69"/>
      <c r="D48" s="60" t="s">
        <v>127</v>
      </c>
      <c r="E48" s="60"/>
      <c r="F48" s="60"/>
      <c r="G48" s="22"/>
    </row>
    <row r="49" spans="1:7" ht="36" customHeight="1" x14ac:dyDescent="0.3">
      <c r="A49" s="69" t="s">
        <v>128</v>
      </c>
      <c r="B49" s="69"/>
      <c r="C49" s="69"/>
      <c r="D49" s="73">
        <v>211573500</v>
      </c>
      <c r="E49" s="73"/>
      <c r="F49" s="73"/>
      <c r="G49" s="22"/>
    </row>
    <row r="50" spans="1:7" ht="30" customHeight="1" x14ac:dyDescent="0.3">
      <c r="A50" s="69" t="s">
        <v>129</v>
      </c>
      <c r="B50" s="69"/>
      <c r="C50" s="69"/>
      <c r="D50" s="73">
        <v>319000</v>
      </c>
      <c r="E50" s="73"/>
      <c r="F50" s="73"/>
      <c r="G50" s="47"/>
    </row>
    <row r="51" spans="1:7" ht="31.2" customHeight="1" x14ac:dyDescent="0.3">
      <c r="A51" s="69" t="s">
        <v>130</v>
      </c>
      <c r="B51" s="69"/>
      <c r="C51" s="69"/>
      <c r="D51" s="73">
        <v>0</v>
      </c>
      <c r="E51" s="73"/>
      <c r="F51" s="73"/>
      <c r="G51" s="22"/>
    </row>
    <row r="52" spans="1:7" ht="38.25" customHeight="1" x14ac:dyDescent="0.3">
      <c r="A52" s="69" t="s">
        <v>131</v>
      </c>
      <c r="B52" s="69"/>
      <c r="C52" s="69"/>
      <c r="D52" s="73">
        <f>+D51+D50+D49</f>
        <v>211892500</v>
      </c>
      <c r="E52" s="73"/>
      <c r="F52" s="73"/>
      <c r="G52" s="22"/>
    </row>
    <row r="53" spans="1:7" s="44" customFormat="1" ht="30" customHeight="1" x14ac:dyDescent="0.3">
      <c r="A53" s="70" t="s">
        <v>132</v>
      </c>
      <c r="B53" s="71"/>
      <c r="C53" s="71"/>
      <c r="D53" s="71"/>
      <c r="E53" s="71"/>
      <c r="F53" s="72"/>
      <c r="G53" s="43"/>
    </row>
    <row r="54" spans="1:7" ht="15" customHeight="1" x14ac:dyDescent="0.3">
      <c r="A54" s="69" t="s">
        <v>126</v>
      </c>
      <c r="B54" s="69"/>
      <c r="C54" s="69"/>
      <c r="D54" s="60" t="s">
        <v>133</v>
      </c>
      <c r="E54" s="60"/>
      <c r="F54" s="60"/>
      <c r="G54" s="22"/>
    </row>
    <row r="55" spans="1:7" ht="35.25" customHeight="1" x14ac:dyDescent="0.3">
      <c r="A55" s="69" t="s">
        <v>134</v>
      </c>
      <c r="B55" s="69"/>
      <c r="C55" s="69"/>
      <c r="D55" s="73">
        <v>23146655</v>
      </c>
      <c r="E55" s="73"/>
      <c r="F55" s="73"/>
      <c r="G55" s="45"/>
    </row>
    <row r="56" spans="1:7" ht="30" customHeight="1" x14ac:dyDescent="0.3">
      <c r="A56" s="74" t="s">
        <v>135</v>
      </c>
      <c r="B56" s="75"/>
      <c r="C56" s="76"/>
      <c r="D56" s="73">
        <v>4629331</v>
      </c>
      <c r="E56" s="73"/>
      <c r="F56" s="73"/>
      <c r="G56" s="45"/>
    </row>
    <row r="57" spans="1:7" ht="30" customHeight="1" x14ac:dyDescent="0.3">
      <c r="A57" s="74" t="s">
        <v>136</v>
      </c>
      <c r="B57" s="75"/>
      <c r="C57" s="76"/>
      <c r="D57" s="77" t="s">
        <v>137</v>
      </c>
      <c r="E57" s="78"/>
      <c r="F57" s="79"/>
      <c r="G57" s="22"/>
    </row>
    <row r="58" spans="1:7" s="44" customFormat="1" ht="30" customHeight="1" x14ac:dyDescent="0.3">
      <c r="A58" s="70" t="s">
        <v>138</v>
      </c>
      <c r="B58" s="71"/>
      <c r="C58" s="71"/>
      <c r="D58" s="71"/>
      <c r="E58" s="71"/>
      <c r="F58" s="72"/>
      <c r="G58" s="43"/>
    </row>
    <row r="59" spans="1:7" s="46" customFormat="1" ht="30" customHeight="1" x14ac:dyDescent="0.3">
      <c r="A59" s="69" t="s">
        <v>139</v>
      </c>
      <c r="B59" s="69"/>
      <c r="C59" s="69"/>
      <c r="D59" s="73">
        <f>+D52+D55</f>
        <v>235039155</v>
      </c>
      <c r="E59" s="73"/>
      <c r="F59" s="73"/>
      <c r="G59" s="48"/>
    </row>
    <row r="60" spans="1:7" ht="15" customHeight="1" x14ac:dyDescent="0.3">
      <c r="A60" s="56" t="s">
        <v>140</v>
      </c>
      <c r="B60" s="57"/>
      <c r="C60" s="57"/>
      <c r="D60" s="57"/>
      <c r="E60" s="57"/>
      <c r="F60" s="57"/>
      <c r="G60" s="22"/>
    </row>
    <row r="61" spans="1:7" ht="183" customHeight="1" x14ac:dyDescent="0.3">
      <c r="A61" s="58" t="s">
        <v>152</v>
      </c>
      <c r="B61" s="58"/>
      <c r="C61" s="58"/>
      <c r="D61" s="58"/>
      <c r="E61" s="58"/>
      <c r="F61" s="58"/>
      <c r="G61" s="22"/>
    </row>
    <row r="62" spans="1:7" ht="15" customHeight="1" x14ac:dyDescent="0.3">
      <c r="A62" s="56" t="s">
        <v>141</v>
      </c>
      <c r="B62" s="56"/>
      <c r="C62" s="56"/>
      <c r="D62" s="56"/>
      <c r="E62" s="56"/>
      <c r="F62" s="56"/>
      <c r="G62" s="22"/>
    </row>
    <row r="63" spans="1:7" ht="15" customHeight="1" x14ac:dyDescent="0.3">
      <c r="A63" s="56" t="s">
        <v>142</v>
      </c>
      <c r="B63" s="57"/>
      <c r="C63" s="57"/>
      <c r="D63" s="57"/>
      <c r="E63" s="57"/>
      <c r="F63" s="57"/>
      <c r="G63" s="22"/>
    </row>
    <row r="64" spans="1:7" ht="15" customHeight="1" x14ac:dyDescent="0.3">
      <c r="A64" s="59" t="s">
        <v>143</v>
      </c>
      <c r="B64" s="59"/>
      <c r="C64" s="59"/>
      <c r="D64" s="59"/>
      <c r="E64" s="59"/>
      <c r="F64" s="59"/>
      <c r="G64" s="22"/>
    </row>
    <row r="65" spans="1:7" ht="15" customHeight="1" x14ac:dyDescent="0.3">
      <c r="A65" s="59" t="s">
        <v>144</v>
      </c>
      <c r="B65" s="59"/>
      <c r="C65" s="59"/>
      <c r="D65" s="59"/>
      <c r="E65" s="59"/>
      <c r="F65" s="59"/>
      <c r="G65" s="22"/>
    </row>
    <row r="66" spans="1:7" ht="34.5" customHeight="1" x14ac:dyDescent="0.3">
      <c r="A66" s="55" t="s">
        <v>145</v>
      </c>
      <c r="B66" s="55"/>
      <c r="C66" s="55"/>
      <c r="D66" s="55"/>
      <c r="E66" s="55"/>
      <c r="F66" s="55"/>
      <c r="G66" s="22"/>
    </row>
    <row r="67" spans="1:7" ht="15" customHeight="1" x14ac:dyDescent="0.3">
      <c r="A67" s="55" t="s">
        <v>146</v>
      </c>
      <c r="B67" s="59"/>
      <c r="C67" s="59"/>
      <c r="D67" s="59"/>
      <c r="E67" s="59"/>
      <c r="F67" s="59"/>
      <c r="G67" s="22"/>
    </row>
    <row r="68" spans="1:7" ht="15" customHeight="1" x14ac:dyDescent="0.3">
      <c r="A68" s="55" t="s">
        <v>147</v>
      </c>
      <c r="B68" s="59"/>
      <c r="C68" s="59"/>
      <c r="D68" s="59"/>
      <c r="E68" s="59"/>
      <c r="F68" s="59"/>
      <c r="G68" s="22"/>
    </row>
    <row r="69" spans="1:7" ht="39.75" customHeight="1" x14ac:dyDescent="0.3">
      <c r="A69" s="55" t="s">
        <v>145</v>
      </c>
      <c r="B69" s="55"/>
      <c r="C69" s="55"/>
      <c r="D69" s="55"/>
      <c r="E69" s="55"/>
      <c r="F69" s="55"/>
      <c r="G69" s="22"/>
    </row>
    <row r="70" spans="1:7" x14ac:dyDescent="0.3">
      <c r="A70" s="25"/>
      <c r="B70" s="25"/>
      <c r="C70" s="25"/>
      <c r="D70" s="25"/>
      <c r="E70" s="25"/>
      <c r="F70" s="25"/>
    </row>
    <row r="73" spans="1:7" x14ac:dyDescent="0.3">
      <c r="B73" s="41"/>
    </row>
  </sheetData>
  <mergeCells count="88">
    <mergeCell ref="A58:F58"/>
    <mergeCell ref="A59:C59"/>
    <mergeCell ref="D59:F59"/>
    <mergeCell ref="A55:C55"/>
    <mergeCell ref="D55:F55"/>
    <mergeCell ref="A56:C56"/>
    <mergeCell ref="D56:F56"/>
    <mergeCell ref="A57:C57"/>
    <mergeCell ref="D57:F57"/>
    <mergeCell ref="A52:C52"/>
    <mergeCell ref="D52:F52"/>
    <mergeCell ref="A53:F53"/>
    <mergeCell ref="A54:C54"/>
    <mergeCell ref="D54:F54"/>
    <mergeCell ref="A49:C49"/>
    <mergeCell ref="D49:F49"/>
    <mergeCell ref="A50:C50"/>
    <mergeCell ref="D50:F50"/>
    <mergeCell ref="A51:C51"/>
    <mergeCell ref="D51:F51"/>
    <mergeCell ref="A46:C46"/>
    <mergeCell ref="D46:F46"/>
    <mergeCell ref="A47:F47"/>
    <mergeCell ref="A48:C48"/>
    <mergeCell ref="D48:F48"/>
    <mergeCell ref="D41:E41"/>
    <mergeCell ref="A42:F42"/>
    <mergeCell ref="A43:C43"/>
    <mergeCell ref="D43:F43"/>
    <mergeCell ref="A44:F44"/>
    <mergeCell ref="A41:B41"/>
    <mergeCell ref="A45:F45"/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3:F13"/>
    <mergeCell ref="A17:F17"/>
    <mergeCell ref="A11:F11"/>
    <mergeCell ref="A12:F12"/>
    <mergeCell ref="A15:F15"/>
    <mergeCell ref="A16:B16"/>
    <mergeCell ref="E16:F16"/>
    <mergeCell ref="C14:F14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30:F30"/>
    <mergeCell ref="D31:E31"/>
    <mergeCell ref="D32:E32"/>
    <mergeCell ref="D33:E33"/>
    <mergeCell ref="D34:E34"/>
    <mergeCell ref="D35:E35"/>
    <mergeCell ref="A36:F36"/>
    <mergeCell ref="A37:B37"/>
    <mergeCell ref="D37:E37"/>
    <mergeCell ref="A38:B38"/>
    <mergeCell ref="D38:E38"/>
    <mergeCell ref="A39:F39"/>
    <mergeCell ref="A40:B40"/>
    <mergeCell ref="D40:E40"/>
    <mergeCell ref="A69:F69"/>
    <mergeCell ref="A60:F60"/>
    <mergeCell ref="A61:F61"/>
    <mergeCell ref="A62:F62"/>
    <mergeCell ref="A63:F63"/>
    <mergeCell ref="A65:F65"/>
    <mergeCell ref="A66:F66"/>
    <mergeCell ref="A67:F67"/>
    <mergeCell ref="A68:F68"/>
    <mergeCell ref="A64:F64"/>
  </mergeCells>
  <dataValidations count="5">
    <dataValidation type="list" allowBlank="1" showInputMessage="1" showErrorMessage="1" sqref="C33:C35 B33:B34" xr:uid="{00000000-0002-0000-0100-000000000000}">
      <formula1>$I$33:$I$41</formula1>
    </dataValidation>
    <dataValidation type="list" allowBlank="1" showInputMessage="1" showErrorMessage="1" sqref="F38 F41" xr:uid="{00000000-0002-0000-0100-000001000000}">
      <formula1>$I$39:$I$41</formula1>
    </dataValidation>
    <dataValidation type="list" allowBlank="1" showInputMessage="1" showErrorMessage="1" sqref="C32" xr:uid="{00000000-0002-0000-0100-000002000000}">
      <formula1>$I$33:$I$38</formula1>
    </dataValidation>
    <dataValidation type="list" allowBlank="1" showInputMessage="1" showErrorMessage="1" sqref="B32" xr:uid="{00000000-0002-0000-0100-000003000000}">
      <formula1>$H$33:$H$41</formula1>
    </dataValidation>
    <dataValidation type="list" allowBlank="1" showInputMessage="1" showErrorMessage="1" sqref="B35" xr:uid="{00000000-0002-0000-0100-000004000000}">
      <formula1>$H$40:$H$41</formula1>
    </dataValidation>
  </dataValidations>
  <printOptions horizontalCentered="1"/>
  <pageMargins left="0.7" right="0.7" top="0.75" bottom="0.75" header="0.3" footer="0.3"/>
  <pageSetup scale="56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2" manualBreakCount="2">
    <brk id="29" max="5" man="1"/>
    <brk id="59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E8E697-9885-4574-BF0B-E7A0DA607CEE}">
  <ds:schemaRefs>
    <ds:schemaRef ds:uri="http://purl.org/dc/elements/1.1/"/>
    <ds:schemaRef ds:uri="http://www.w3.org/XML/1998/namespace"/>
    <ds:schemaRef ds:uri="http://schemas.openxmlformats.org/package/2006/metadata/core-properties"/>
    <ds:schemaRef ds:uri="8fdaa9ae-9629-43e8-b999-4a109998d624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676d5b36-f216-4954-be05-d616da7a8256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B132746-59D7-4F0F-A6B7-5DA5D7BEE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cp:lastPrinted>2026-02-03T21:58:23Z</cp:lastPrinted>
  <dcterms:created xsi:type="dcterms:W3CDTF">2015-06-05T18:19:34Z</dcterms:created>
  <dcterms:modified xsi:type="dcterms:W3CDTF">2026-02-03T22:06:58Z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